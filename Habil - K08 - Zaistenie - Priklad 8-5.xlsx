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4" documentId="13_ncr:1_{BDCFBB03-A1D6-4E92-8836-30288723FF48}" xr6:coauthVersionLast="47" xr6:coauthVersionMax="47" xr10:uidLastSave="{7347EC21-7AF7-4674-8B84-78465D550D89}"/>
  <bookViews>
    <workbookView xWindow="-120" yWindow="-120" windowWidth="29040" windowHeight="15720" xr2:uid="{00000000-000D-0000-FFFF-FFFF00000000}"/>
  </bookViews>
  <sheets>
    <sheet name="Habil-K08-Priklad_8.5" sheetId="1" r:id="rId1"/>
    <sheet name="Habil-K08-Priklad_8.5-Graf_(a)" sheetId="2" r:id="rId2"/>
    <sheet name="Habil-K08-Priklad_8.5-Graf_(b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H15" i="1"/>
  <c r="I15" i="1" s="1"/>
  <c r="H16" i="1"/>
  <c r="I16" i="1" s="1"/>
  <c r="H17" i="1"/>
  <c r="I17" i="1" s="1"/>
  <c r="H14" i="1"/>
  <c r="G15" i="1"/>
  <c r="G16" i="1"/>
  <c r="G17" i="1"/>
  <c r="G14" i="1"/>
  <c r="I6" i="1"/>
  <c r="H7" i="1"/>
  <c r="I7" i="1" s="1"/>
  <c r="H8" i="1"/>
  <c r="I8" i="1" s="1"/>
  <c r="H9" i="1"/>
  <c r="I9" i="1" s="1"/>
  <c r="G8" i="1"/>
  <c r="G7" i="1"/>
  <c r="G9" i="1"/>
  <c r="G6" i="1"/>
  <c r="H6" i="1"/>
</calcChain>
</file>

<file path=xl/sharedStrings.xml><?xml version="1.0" encoding="utf-8"?>
<sst xmlns="http://schemas.openxmlformats.org/spreadsheetml/2006/main" count="26" uniqueCount="16">
  <si>
    <t>Gábor Szűcs, FMFI UK, Gabor.Szucs@fmph.uniba.sk</t>
  </si>
  <si>
    <r>
      <rPr>
        <i/>
        <sz val="11"/>
        <color theme="1"/>
        <rFont val="Calibri"/>
        <family val="2"/>
        <charset val="238"/>
        <scheme val="minor"/>
      </rPr>
      <t>q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</si>
  <si>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i/>
        <sz val="11"/>
        <color theme="1"/>
        <rFont val="Calibri"/>
        <family val="2"/>
        <charset val="238"/>
      </rPr>
      <t>α</t>
    </r>
    <r>
      <rPr>
        <sz val="11"/>
        <color theme="1"/>
        <rFont val="Calibri"/>
        <family val="2"/>
        <charset val="238"/>
      </rPr>
      <t xml:space="preserve"> =</t>
    </r>
  </si>
  <si>
    <t>1.</t>
  </si>
  <si>
    <t>2.</t>
  </si>
  <si>
    <t>3.</t>
  </si>
  <si>
    <t>4.</t>
  </si>
  <si>
    <t>por. číslo</t>
  </si>
  <si>
    <t>poistná suma</t>
  </si>
  <si>
    <t>výška škody</t>
  </si>
  <si>
    <t>výška škody
1. zaisťovateľa</t>
  </si>
  <si>
    <t>výška škody
2. zaisťovateľa</t>
  </si>
  <si>
    <t>výška škody cedenta (prvopoisťovateľa)</t>
  </si>
  <si>
    <t>(a) Rozdelenia individuálnej škody v prípade zaistného reťazca kvóta+surplus (peňažné sumy sú uvedené v tisícoch eur)</t>
  </si>
  <si>
    <t>(b) Rozdelenia individuálnej škody v prípade zaistného reťazca surplus+kvóta (peňažné sumy sú uvedené v tisícoch eur)</t>
  </si>
  <si>
    <t>Habil - K08 - Zaistenie - Príklad 8.5 (Zaistné reťazce)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</si>
</sst>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"/>
  </numFmts>
  <fonts count="9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name val="Arial CE"/>
      <charset val="238"/>
    </font>
    <font>
      <i/>
      <sz val="10"/>
      <name val="Arial CE"/>
      <charset val="238"/>
    </font>
    <font>
      <sz val="11"/>
      <color theme="1"/>
      <name val="Calibri"/>
      <family val="2"/>
      <charset val="238"/>
    </font>
    <font>
      <i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</font>
    <font>
      <sz val="8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5" fontId="0" fillId="4" borderId="4" xfId="0" applyNumberFormat="1" applyFill="1" applyBorder="1"/>
    <xf numFmtId="165" fontId="0" fillId="0" borderId="4" xfId="0" applyNumberFormat="1" applyBorder="1"/>
    <xf numFmtId="165" fontId="0" fillId="4" borderId="2" xfId="0" applyNumberFormat="1" applyFill="1" applyBorder="1"/>
    <xf numFmtId="165" fontId="0" fillId="0" borderId="2" xfId="0" applyNumberFormat="1" applyBorder="1"/>
    <xf numFmtId="0" fontId="0" fillId="2" borderId="5" xfId="0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4" fontId="0" fillId="2" borderId="6" xfId="0" applyNumberFormat="1" applyFill="1" applyBorder="1" applyAlignment="1">
      <alignment horizontal="left"/>
    </xf>
    <xf numFmtId="165" fontId="0" fillId="3" borderId="6" xfId="0" applyNumberFormat="1" applyFill="1" applyBorder="1" applyAlignment="1">
      <alignment horizontal="left"/>
    </xf>
    <xf numFmtId="0" fontId="0" fillId="5" borderId="3" xfId="0" applyFill="1" applyBorder="1" applyAlignment="1">
      <alignment horizontal="center" wrapText="1"/>
    </xf>
    <xf numFmtId="165" fontId="0" fillId="5" borderId="4" xfId="0" applyNumberFormat="1" applyFill="1" applyBorder="1"/>
    <xf numFmtId="165" fontId="0" fillId="5" borderId="2" xfId="0" applyNumberFormat="1" applyFill="1" applyBorder="1"/>
    <xf numFmtId="0" fontId="8" fillId="6" borderId="3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 wrapText="1"/>
    </xf>
    <xf numFmtId="0" fontId="8" fillId="8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800">
                <a:solidFill>
                  <a:sysClr val="windowText" lastClr="000000"/>
                </a:solidFill>
              </a:rPr>
              <a:t>(a) Rozdelenia individuálnej škody v prípade zaistného reťazca </a:t>
            </a:r>
            <a:r>
              <a:rPr lang="sk-SK" sz="1800" b="1">
                <a:solidFill>
                  <a:sysClr val="windowText" lastClr="000000"/>
                </a:solidFill>
              </a:rPr>
              <a:t>kvóta+surplus</a:t>
            </a:r>
            <a:r>
              <a:rPr lang="sk-SK" sz="1800">
                <a:solidFill>
                  <a:sysClr val="windowText" lastClr="000000"/>
                </a:solidFill>
              </a:rPr>
              <a:t> (peňažné sumy sú uvedené v tisícoch eur)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'Habil-K08-Priklad_8.5'!$G$5</c:f>
              <c:strCache>
                <c:ptCount val="1"/>
                <c:pt idx="0">
                  <c:v>výška škody cedenta (prvopoisťovateľa)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'Habil-K08-Priklad_8.5'!$G$6:$G$9</c:f>
              <c:numCache>
                <c:formatCode>#\ ##0.000</c:formatCode>
                <c:ptCount val="4"/>
                <c:pt idx="0">
                  <c:v>100</c:v>
                </c:pt>
                <c:pt idx="1">
                  <c:v>120</c:v>
                </c:pt>
                <c:pt idx="2">
                  <c:v>400</c:v>
                </c:pt>
                <c:pt idx="3">
                  <c:v>377.77777777777777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4-40ED-8B73-CF1C32113D9B}"/>
            </c:ext>
          </c:extLst>
        </c:ser>
        <c:ser>
          <c:idx val="1"/>
          <c:order val="1"/>
          <c:tx>
            <c:strRef>
              <c:f>'Habil-K08-Priklad_8.5'!$H$5</c:f>
              <c:strCache>
                <c:ptCount val="1"/>
                <c:pt idx="0">
                  <c:v>výška škody
1. zaisťovateľa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'Habil-K08-Priklad_8.5'!$H$6:$H$9</c:f>
              <c:numCache>
                <c:formatCode>#\ ##0.000</c:formatCode>
                <c:ptCount val="4"/>
                <c:pt idx="0">
                  <c:v>400</c:v>
                </c:pt>
                <c:pt idx="1">
                  <c:v>720</c:v>
                </c:pt>
                <c:pt idx="2">
                  <c:v>12800</c:v>
                </c:pt>
                <c:pt idx="3">
                  <c:v>13600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4-40ED-8B73-CF1C32113D9B}"/>
            </c:ext>
          </c:extLst>
        </c:ser>
        <c:ser>
          <c:idx val="2"/>
          <c:order val="2"/>
          <c:tx>
            <c:strRef>
              <c:f>'Habil-K08-Priklad_8.5'!$I$5</c:f>
              <c:strCache>
                <c:ptCount val="1"/>
                <c:pt idx="0">
                  <c:v>výška škody
2. zaisťovateľa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val>
            <c:numRef>
              <c:f>'Habil-K08-Priklad_8.5'!$I$6:$I$9</c:f>
              <c:numCache>
                <c:formatCode>#\ ##0.000</c:formatCode>
                <c:ptCount val="4"/>
                <c:pt idx="0">
                  <c:v>0</c:v>
                </c:pt>
                <c:pt idx="1">
                  <c:v>60.000000000000007</c:v>
                </c:pt>
                <c:pt idx="2">
                  <c:v>2800</c:v>
                </c:pt>
                <c:pt idx="3">
                  <c:v>3022.2222222222222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A4-40ED-8B73-CF1C32113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6369072"/>
        <c:axId val="746370056"/>
      </c:barChart>
      <c:catAx>
        <c:axId val="74636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400">
                    <a:solidFill>
                      <a:sysClr val="windowText" lastClr="000000"/>
                    </a:solidFill>
                  </a:rPr>
                  <a:t>poradové číslo poistnej zmluvy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46370056"/>
        <c:crosses val="autoZero"/>
        <c:auto val="1"/>
        <c:lblAlgn val="ctr"/>
        <c:lblOffset val="100"/>
        <c:noMultiLvlLbl val="0"/>
      </c:catAx>
      <c:valAx>
        <c:axId val="74637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400">
                    <a:solidFill>
                      <a:sysClr val="windowText" lastClr="000000"/>
                    </a:solidFill>
                  </a:rPr>
                  <a:t>výška</a:t>
                </a:r>
                <a:r>
                  <a:rPr lang="sk-SK" sz="1400" baseline="0">
                    <a:solidFill>
                      <a:sysClr val="windowText" lastClr="000000"/>
                    </a:solidFill>
                  </a:rPr>
                  <a:t> škody v tisícoch eur</a:t>
                </a:r>
                <a:endParaRPr lang="sk-SK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\ 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4636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800">
                <a:solidFill>
                  <a:sysClr val="windowText" lastClr="000000"/>
                </a:solidFill>
              </a:rPr>
              <a:t>(b) Rozdelenia individuálnej škody v prípade zaistného reťazca </a:t>
            </a:r>
            <a:r>
              <a:rPr lang="sk-SK" sz="1800" b="1">
                <a:solidFill>
                  <a:sysClr val="windowText" lastClr="000000"/>
                </a:solidFill>
              </a:rPr>
              <a:t>surplus+kvóta </a:t>
            </a:r>
            <a:r>
              <a:rPr lang="sk-SK" sz="1800">
                <a:solidFill>
                  <a:sysClr val="windowText" lastClr="000000"/>
                </a:solidFill>
              </a:rPr>
              <a:t>(peňažné sumy sú uvedené v tisícoch eur)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'Habil-K08-Priklad_8.5'!$G$13</c:f>
              <c:strCache>
                <c:ptCount val="1"/>
                <c:pt idx="0">
                  <c:v>výška škody cedenta (prvopoisťovateľa)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'Habil-K08-Priklad_8.5'!$G$14:$G$17</c:f>
              <c:numCache>
                <c:formatCode>#\ ##0.000</c:formatCode>
                <c:ptCount val="4"/>
                <c:pt idx="0">
                  <c:v>100</c:v>
                </c:pt>
                <c:pt idx="1">
                  <c:v>120</c:v>
                </c:pt>
                <c:pt idx="2">
                  <c:v>400</c:v>
                </c:pt>
                <c:pt idx="3">
                  <c:v>377.77777777777783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A-4463-9E3A-4F6F4BC21024}"/>
            </c:ext>
          </c:extLst>
        </c:ser>
        <c:ser>
          <c:idx val="1"/>
          <c:order val="1"/>
          <c:tx>
            <c:strRef>
              <c:f>'Habil-K08-Priklad_8.5'!$H$13</c:f>
              <c:strCache>
                <c:ptCount val="1"/>
                <c:pt idx="0">
                  <c:v>výška škody
1. zaisťovateľa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'Habil-K08-Priklad_8.5'!$H$14:$H$17</c:f>
              <c:numCache>
                <c:formatCode>#\ ##0.000</c:formatCode>
                <c:ptCount val="4"/>
                <c:pt idx="0">
                  <c:v>0</c:v>
                </c:pt>
                <c:pt idx="1">
                  <c:v>300.00000000000006</c:v>
                </c:pt>
                <c:pt idx="2">
                  <c:v>14000</c:v>
                </c:pt>
                <c:pt idx="3">
                  <c:v>15111.111111111109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A-4463-9E3A-4F6F4BC21024}"/>
            </c:ext>
          </c:extLst>
        </c:ser>
        <c:ser>
          <c:idx val="2"/>
          <c:order val="2"/>
          <c:tx>
            <c:strRef>
              <c:f>'Habil-K08-Priklad_8.5'!$I$13</c:f>
              <c:strCache>
                <c:ptCount val="1"/>
                <c:pt idx="0">
                  <c:v>výška škody
2. zaisťovateľa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val>
            <c:numRef>
              <c:f>'Habil-K08-Priklad_8.5'!$I$14:$I$17</c:f>
              <c:numCache>
                <c:formatCode>#\ ##0.000</c:formatCode>
                <c:ptCount val="4"/>
                <c:pt idx="0">
                  <c:v>400</c:v>
                </c:pt>
                <c:pt idx="1">
                  <c:v>480</c:v>
                </c:pt>
                <c:pt idx="2">
                  <c:v>1600</c:v>
                </c:pt>
                <c:pt idx="3">
                  <c:v>1511.1111111111125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A-4463-9E3A-4F6F4BC21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6369072"/>
        <c:axId val="746370056"/>
      </c:barChart>
      <c:catAx>
        <c:axId val="74636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400">
                    <a:solidFill>
                      <a:sysClr val="windowText" lastClr="000000"/>
                    </a:solidFill>
                  </a:rPr>
                  <a:t>poradové číslo poistnej zmluvy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46370056"/>
        <c:crosses val="autoZero"/>
        <c:auto val="1"/>
        <c:lblAlgn val="ctr"/>
        <c:lblOffset val="100"/>
        <c:noMultiLvlLbl val="0"/>
      </c:catAx>
      <c:valAx>
        <c:axId val="74637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400">
                    <a:solidFill>
                      <a:sysClr val="windowText" lastClr="000000"/>
                    </a:solidFill>
                  </a:rPr>
                  <a:t>výška</a:t>
                </a:r>
                <a:r>
                  <a:rPr lang="sk-SK" sz="1400" baseline="0">
                    <a:solidFill>
                      <a:sysClr val="windowText" lastClr="000000"/>
                    </a:solidFill>
                  </a:rPr>
                  <a:t> škody v tisícoch eur</a:t>
                </a:r>
                <a:endParaRPr lang="sk-SK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\ 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74636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2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12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21161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1B83A35-E69C-4271-B0F0-E5179A5B18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21161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92225340-E13E-44F0-ACBD-9433D0B90B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sqref="A1:I1"/>
    </sheetView>
  </sheetViews>
  <sheetFormatPr defaultRowHeight="15" x14ac:dyDescent="0.25"/>
  <cols>
    <col min="5" max="9" width="20.140625" customWidth="1"/>
  </cols>
  <sheetData>
    <row r="1" spans="1:9" ht="33" customHeight="1" x14ac:dyDescent="0.25">
      <c r="A1" s="18" t="s">
        <v>15</v>
      </c>
      <c r="B1" s="19"/>
      <c r="C1" s="19"/>
      <c r="D1" s="19"/>
      <c r="E1" s="19"/>
      <c r="F1" s="19"/>
      <c r="G1" s="19"/>
      <c r="H1" s="19"/>
      <c r="I1" s="19"/>
    </row>
    <row r="2" spans="1:9" ht="20.25" customHeight="1" x14ac:dyDescent="0.25">
      <c r="A2" s="20" t="s">
        <v>0</v>
      </c>
      <c r="B2" s="20"/>
      <c r="C2" s="20"/>
      <c r="D2" s="20"/>
      <c r="E2" s="20"/>
      <c r="F2" s="20"/>
      <c r="G2" s="20"/>
      <c r="H2" s="20"/>
      <c r="I2" s="20"/>
    </row>
    <row r="4" spans="1:9" ht="30.75" customHeight="1" x14ac:dyDescent="0.25">
      <c r="D4" s="21" t="s">
        <v>13</v>
      </c>
      <c r="E4" s="21"/>
      <c r="F4" s="21"/>
      <c r="G4" s="21"/>
      <c r="H4" s="21"/>
      <c r="I4" s="21"/>
    </row>
    <row r="5" spans="1:9" ht="30.75" thickBot="1" x14ac:dyDescent="0.3">
      <c r="D5" s="1" t="s">
        <v>7</v>
      </c>
      <c r="E5" s="1" t="s">
        <v>8</v>
      </c>
      <c r="F5" s="12" t="s">
        <v>9</v>
      </c>
      <c r="G5" s="15" t="s">
        <v>12</v>
      </c>
      <c r="H5" s="16" t="s">
        <v>10</v>
      </c>
      <c r="I5" s="17" t="s">
        <v>11</v>
      </c>
    </row>
    <row r="6" spans="1:9" ht="15.75" thickTop="1" x14ac:dyDescent="0.25">
      <c r="A6" s="8" t="s">
        <v>1</v>
      </c>
      <c r="B6" s="10">
        <v>0.2</v>
      </c>
      <c r="D6" s="2" t="s">
        <v>3</v>
      </c>
      <c r="E6" s="4">
        <v>900</v>
      </c>
      <c r="F6" s="13">
        <v>500</v>
      </c>
      <c r="G6" s="5">
        <f>IF(E6&lt;$B$7,F6*$B$6,F6*$B$6*$B$7/E6)</f>
        <v>100</v>
      </c>
      <c r="H6" s="5">
        <f>F6*(1-$B$6)</f>
        <v>400</v>
      </c>
      <c r="I6" s="5">
        <f>IF(E6&lt;$B$7,0,F6*(1-$B$6)*(1-$B$7/E6))</f>
        <v>0</v>
      </c>
    </row>
    <row r="7" spans="1:9" x14ac:dyDescent="0.25">
      <c r="A7" s="9" t="s">
        <v>2</v>
      </c>
      <c r="B7" s="11">
        <v>2000</v>
      </c>
      <c r="D7" s="3" t="s">
        <v>4</v>
      </c>
      <c r="E7" s="6">
        <v>3000</v>
      </c>
      <c r="F7" s="14">
        <v>900</v>
      </c>
      <c r="G7" s="7">
        <f t="shared" ref="G7:G9" si="0">IF(E7&lt;$B$7,F7*$B$6,F7*$B$6*$B$7/E7)</f>
        <v>120</v>
      </c>
      <c r="H7" s="7">
        <f t="shared" ref="H7:H9" si="1">F7*(1-$B$6)</f>
        <v>720</v>
      </c>
      <c r="I7" s="7">
        <f>IF(E7&lt;$B$7,0,(F7-H7)*(1-$B$7/E7))</f>
        <v>60.000000000000007</v>
      </c>
    </row>
    <row r="8" spans="1:9" x14ac:dyDescent="0.25">
      <c r="D8" s="3" t="s">
        <v>5</v>
      </c>
      <c r="E8" s="6">
        <v>16000</v>
      </c>
      <c r="F8" s="14">
        <v>16000</v>
      </c>
      <c r="G8" s="7">
        <f>IF(E8&lt;$B$7,F8*$B$6,F8*$B$6*$B$7/E8)</f>
        <v>400</v>
      </c>
      <c r="H8" s="7">
        <f t="shared" si="1"/>
        <v>12800</v>
      </c>
      <c r="I8" s="7">
        <f t="shared" ref="I8:I9" si="2">IF(E8&lt;$B$7,0,(F8-H8)*(1-$B$7/E8))</f>
        <v>2800</v>
      </c>
    </row>
    <row r="9" spans="1:9" x14ac:dyDescent="0.25">
      <c r="D9" s="3" t="s">
        <v>6</v>
      </c>
      <c r="E9" s="6">
        <v>18000</v>
      </c>
      <c r="F9" s="14">
        <v>17000</v>
      </c>
      <c r="G9" s="7">
        <f t="shared" si="0"/>
        <v>377.77777777777777</v>
      </c>
      <c r="H9" s="7">
        <f t="shared" si="1"/>
        <v>13600</v>
      </c>
      <c r="I9" s="7">
        <f t="shared" si="2"/>
        <v>3022.2222222222222</v>
      </c>
    </row>
    <row r="12" spans="1:9" ht="30.75" customHeight="1" x14ac:dyDescent="0.25">
      <c r="D12" s="21" t="s">
        <v>14</v>
      </c>
      <c r="E12" s="21"/>
      <c r="F12" s="21"/>
      <c r="G12" s="21"/>
      <c r="H12" s="21"/>
      <c r="I12" s="21"/>
    </row>
    <row r="13" spans="1:9" ht="30.75" thickBot="1" x14ac:dyDescent="0.3">
      <c r="D13" s="1" t="s">
        <v>7</v>
      </c>
      <c r="E13" s="1" t="s">
        <v>8</v>
      </c>
      <c r="F13" s="12" t="s">
        <v>9</v>
      </c>
      <c r="G13" s="15" t="s">
        <v>12</v>
      </c>
      <c r="H13" s="16" t="s">
        <v>10</v>
      </c>
      <c r="I13" s="17" t="s">
        <v>11</v>
      </c>
    </row>
    <row r="14" spans="1:9" ht="15.75" thickTop="1" x14ac:dyDescent="0.25">
      <c r="D14" s="2" t="s">
        <v>3</v>
      </c>
      <c r="E14" s="4">
        <v>900</v>
      </c>
      <c r="F14" s="13">
        <v>500</v>
      </c>
      <c r="G14" s="5">
        <f>IF(E14&lt;$B$7,F14*$B$6,F14*$B$7/E14*$B$6)</f>
        <v>100</v>
      </c>
      <c r="H14" s="5">
        <f>IF(E14&lt;$B$7,0,F14*(1-$B$7/E14))</f>
        <v>0</v>
      </c>
      <c r="I14" s="5">
        <f>IF(E14&lt;$B$7,F14*(1-$B$6),(F14-H14)*(1-$B$6))</f>
        <v>400</v>
      </c>
    </row>
    <row r="15" spans="1:9" x14ac:dyDescent="0.25">
      <c r="D15" s="3" t="s">
        <v>4</v>
      </c>
      <c r="E15" s="6">
        <v>3000</v>
      </c>
      <c r="F15" s="14">
        <v>900</v>
      </c>
      <c r="G15" s="5">
        <f t="shared" ref="G15:G17" si="3">IF(E15&lt;$B$7,F15*$B$6,F15*$B$7/E15*$B$6)</f>
        <v>120</v>
      </c>
      <c r="H15" s="5">
        <f t="shared" ref="H15:H17" si="4">IF(E15&lt;$B$7,0,F15*(1-$B$7/E15))</f>
        <v>300.00000000000006</v>
      </c>
      <c r="I15" s="5">
        <f t="shared" ref="I15:I17" si="5">IF(E15&lt;$B$7,F15*(1-$B$6),(F15-H15)*(1-$B$6))</f>
        <v>480</v>
      </c>
    </row>
    <row r="16" spans="1:9" x14ac:dyDescent="0.25">
      <c r="D16" s="3" t="s">
        <v>5</v>
      </c>
      <c r="E16" s="6">
        <v>16000</v>
      </c>
      <c r="F16" s="14">
        <v>16000</v>
      </c>
      <c r="G16" s="5">
        <f t="shared" si="3"/>
        <v>400</v>
      </c>
      <c r="H16" s="5">
        <f t="shared" si="4"/>
        <v>14000</v>
      </c>
      <c r="I16" s="5">
        <f t="shared" si="5"/>
        <v>1600</v>
      </c>
    </row>
    <row r="17" spans="4:9" x14ac:dyDescent="0.25">
      <c r="D17" s="3" t="s">
        <v>6</v>
      </c>
      <c r="E17" s="6">
        <v>18000</v>
      </c>
      <c r="F17" s="14">
        <v>17000</v>
      </c>
      <c r="G17" s="5">
        <f t="shared" si="3"/>
        <v>377.77777777777783</v>
      </c>
      <c r="H17" s="5">
        <f t="shared" si="4"/>
        <v>15111.111111111109</v>
      </c>
      <c r="I17" s="5">
        <f t="shared" si="5"/>
        <v>1511.1111111111125</v>
      </c>
    </row>
  </sheetData>
  <mergeCells count="4">
    <mergeCell ref="A1:I1"/>
    <mergeCell ref="A2:I2"/>
    <mergeCell ref="D4:I4"/>
    <mergeCell ref="D12:I1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Grafy</vt:lpstr>
      </vt:variant>
      <vt:variant>
        <vt:i4>2</vt:i4>
      </vt:variant>
    </vt:vector>
  </HeadingPairs>
  <TitlesOfParts>
    <vt:vector size="3" baseType="lpstr">
      <vt:lpstr>Habil-K08-Priklad_8.5</vt:lpstr>
      <vt:lpstr>Habil-K08-Priklad_8.5-Graf_(a)</vt:lpstr>
      <vt:lpstr>Habil-K08-Priklad_8.5-Graf_(b)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2022-09-17T07:57:02Z</dcterms:created>
  <dcterms:modified xsi:type="dcterms:W3CDTF">2025-11-16T06:40:11Z</dcterms:modified>
</cp:coreProperties>
</file>