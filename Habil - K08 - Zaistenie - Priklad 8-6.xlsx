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3" documentId="13_ncr:1_{C0347FEB-A220-47C3-84EF-19B88CD2B7B2}" xr6:coauthVersionLast="47" xr6:coauthVersionMax="47" xr10:uidLastSave="{F4C6F57C-258B-4783-B787-55CAD75DFCFA}"/>
  <bookViews>
    <workbookView xWindow="-120" yWindow="-120" windowWidth="29040" windowHeight="15720" xr2:uid="{00000000-000D-0000-FFFF-FFFF00000000}"/>
  </bookViews>
  <sheets>
    <sheet name="Habil-K08-Priklad_8.6" sheetId="1" r:id="rId1"/>
    <sheet name="Habil-K08-Priklad_8.6-graf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6" i="1"/>
</calcChain>
</file>

<file path=xl/sharedStrings.xml><?xml version="1.0" encoding="utf-8"?>
<sst xmlns="http://schemas.openxmlformats.org/spreadsheetml/2006/main" count="26" uniqueCount="26">
  <si>
    <t>Gábor Szűcs, FMFI UK, Gabor.Szucs@fmph.uniba.sk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</si>
  <si>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</si>
  <si>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</si>
  <si>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</si>
  <si>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</si>
  <si>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</si>
  <si>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</si>
  <si>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</si>
  <si>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</si>
  <si>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</si>
  <si>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</si>
  <si>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</si>
  <si>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</si>
  <si>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</si>
  <si>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</si>
  <si>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</si>
  <si>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</si>
  <si>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</si>
  <si>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</si>
  <si>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výška poistného nároku</t>
  </si>
  <si>
    <t>por. číslo poistnej zmluvy</t>
  </si>
  <si>
    <t xml:space="preserve">β = </t>
  </si>
  <si>
    <t>výška škody prvopoisťovateľa</t>
  </si>
  <si>
    <t>výška škody zaisťovne</t>
  </si>
  <si>
    <t>výška priority prvopoisťovateľa</t>
  </si>
  <si>
    <t>Habil - K08 - Zaistenie - Príklad 8.6 (Excess of Loss zaistenie)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</si>
</sst>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7" x14ac:knownFonts="1">
    <font>
      <sz val="11"/>
      <color theme="1"/>
      <name val="Calibri"/>
      <family val="2"/>
      <charset val="238"/>
      <scheme val="minor"/>
    </font>
    <font>
      <b/>
      <sz val="10"/>
      <name val="Arial CE"/>
      <charset val="238"/>
    </font>
    <font>
      <i/>
      <sz val="10"/>
      <name val="Arial CE"/>
      <charset val="238"/>
    </font>
    <font>
      <sz val="11"/>
      <color theme="1"/>
      <name val="Calibri"/>
      <family val="2"/>
      <charset val="238"/>
    </font>
    <font>
      <sz val="8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5" fillId="0" borderId="0" xfId="0" applyNumberFormat="1" applyFont="1"/>
    <xf numFmtId="0" fontId="3" fillId="2" borderId="5" xfId="0" applyFont="1" applyFill="1" applyBorder="1" applyAlignment="1">
      <alignment horizontal="right"/>
    </xf>
    <xf numFmtId="0" fontId="0" fillId="0" borderId="2" xfId="0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right"/>
    </xf>
    <xf numFmtId="165" fontId="0" fillId="0" borderId="2" xfId="0" applyNumberFormat="1" applyBorder="1"/>
    <xf numFmtId="165" fontId="0" fillId="0" borderId="2" xfId="0" applyNumberFormat="1" applyBorder="1" applyAlignment="1">
      <alignment horizontal="right"/>
    </xf>
    <xf numFmtId="0" fontId="0" fillId="5" borderId="2" xfId="0" applyFill="1" applyBorder="1" applyAlignment="1">
      <alignment horizontal="center" wrapText="1"/>
    </xf>
    <xf numFmtId="164" fontId="0" fillId="2" borderId="6" xfId="0" applyNumberFormat="1" applyFill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800" b="0" i="0" baseline="0">
                <a:solidFill>
                  <a:sysClr val="windowText" lastClr="000000"/>
                </a:solidFill>
                <a:effectLst/>
              </a:rPr>
              <a:t>Výšky škôd prvopoisťovateľa a zaisťovne </a:t>
            </a:r>
            <a:r>
              <a:rPr lang="sk-SK" sz="1800" b="1" i="0" baseline="0">
                <a:solidFill>
                  <a:sysClr val="windowText" lastClr="000000"/>
                </a:solidFill>
                <a:effectLst/>
              </a:rPr>
              <a:t>pri Excess of Loss zaistení</a:t>
            </a:r>
            <a:endParaRPr lang="sk-SK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'Habil-K08-Priklad_8.6'!$F$5</c:f>
              <c:strCache>
                <c:ptCount val="1"/>
                <c:pt idx="0">
                  <c:v>výška škody prvopoisťovateľa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'Habil-K08-Priklad_8.6'!$F$6:$F$23</c:f>
              <c:numCache>
                <c:formatCode>#\ ##0\ "€"</c:formatCode>
                <c:ptCount val="18"/>
                <c:pt idx="0">
                  <c:v>120000</c:v>
                </c:pt>
                <c:pt idx="1">
                  <c:v>300000</c:v>
                </c:pt>
                <c:pt idx="2">
                  <c:v>0</c:v>
                </c:pt>
                <c:pt idx="3">
                  <c:v>0</c:v>
                </c:pt>
                <c:pt idx="4">
                  <c:v>300000</c:v>
                </c:pt>
                <c:pt idx="5">
                  <c:v>0</c:v>
                </c:pt>
                <c:pt idx="6">
                  <c:v>70000</c:v>
                </c:pt>
                <c:pt idx="7">
                  <c:v>20000</c:v>
                </c:pt>
                <c:pt idx="8">
                  <c:v>300000</c:v>
                </c:pt>
                <c:pt idx="9">
                  <c:v>300000</c:v>
                </c:pt>
                <c:pt idx="10">
                  <c:v>300000</c:v>
                </c:pt>
                <c:pt idx="11">
                  <c:v>23000</c:v>
                </c:pt>
                <c:pt idx="12">
                  <c:v>300000</c:v>
                </c:pt>
                <c:pt idx="13">
                  <c:v>0</c:v>
                </c:pt>
                <c:pt idx="14">
                  <c:v>280000</c:v>
                </c:pt>
                <c:pt idx="15">
                  <c:v>5000</c:v>
                </c:pt>
                <c:pt idx="16">
                  <c:v>0</c:v>
                </c:pt>
                <c:pt idx="17">
                  <c:v>177000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0-4708-A91F-BBC1DF701522}"/>
            </c:ext>
          </c:extLst>
        </c:ser>
        <c:ser>
          <c:idx val="1"/>
          <c:order val="1"/>
          <c:tx>
            <c:strRef>
              <c:f>'Habil-K08-Priklad_8.6'!$G$5</c:f>
              <c:strCache>
                <c:ptCount val="1"/>
                <c:pt idx="0">
                  <c:v>výška škody zaisťovne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'Habil-K08-Priklad_8.6'!$G$6:$G$23</c:f>
              <c:numCache>
                <c:formatCode>#\ ##0\ "€"</c:formatCode>
                <c:ptCount val="18"/>
                <c:pt idx="0">
                  <c:v>0</c:v>
                </c:pt>
                <c:pt idx="1">
                  <c:v>155000</c:v>
                </c:pt>
                <c:pt idx="2">
                  <c:v>0</c:v>
                </c:pt>
                <c:pt idx="3">
                  <c:v>0</c:v>
                </c:pt>
                <c:pt idx="4">
                  <c:v>215000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379000</c:v>
                </c:pt>
                <c:pt idx="9">
                  <c:v>188000</c:v>
                </c:pt>
                <c:pt idx="10">
                  <c:v>620000</c:v>
                </c:pt>
                <c:pt idx="11">
                  <c:v>0</c:v>
                </c:pt>
                <c:pt idx="12">
                  <c:v>11000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30-4708-A91F-BBC1DF701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2072488"/>
        <c:axId val="542075440"/>
      </c:barChart>
      <c:catAx>
        <c:axId val="542072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poradové číslo</a:t>
                </a:r>
                <a:r>
                  <a:rPr lang="sk-SK" sz="1600" baseline="0">
                    <a:solidFill>
                      <a:sysClr val="windowText" lastClr="000000"/>
                    </a:solidFill>
                  </a:rPr>
                  <a:t> poistnej zmluvy</a:t>
                </a:r>
                <a:endParaRPr lang="sk-SK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5440"/>
        <c:crosses val="autoZero"/>
        <c:auto val="1"/>
        <c:lblAlgn val="ctr"/>
        <c:lblOffset val="100"/>
        <c:noMultiLvlLbl val="0"/>
      </c:catAx>
      <c:valAx>
        <c:axId val="5420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výška poistného nároku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2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21161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sqref="A1:I1"/>
    </sheetView>
  </sheetViews>
  <sheetFormatPr defaultRowHeight="15" x14ac:dyDescent="0.25"/>
  <cols>
    <col min="2" max="3" width="17.140625" customWidth="1"/>
    <col min="4" max="4" width="9.140625" customWidth="1"/>
    <col min="5" max="7" width="17.140625" customWidth="1"/>
    <col min="8" max="8" width="25.140625" customWidth="1"/>
    <col min="9" max="9" width="16.85546875" customWidth="1"/>
  </cols>
  <sheetData>
    <row r="1" spans="1:9" ht="33" customHeight="1" x14ac:dyDescent="0.25">
      <c r="A1" s="15" t="s">
        <v>25</v>
      </c>
      <c r="B1" s="16"/>
      <c r="C1" s="16"/>
      <c r="D1" s="16"/>
      <c r="E1" s="16"/>
      <c r="F1" s="16"/>
      <c r="G1" s="16"/>
      <c r="H1" s="16"/>
      <c r="I1" s="16"/>
    </row>
    <row r="2" spans="1:9" ht="20.25" customHeight="1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</row>
    <row r="5" spans="1:9" ht="45" x14ac:dyDescent="0.25">
      <c r="A5" s="18" t="s">
        <v>24</v>
      </c>
      <c r="B5" s="19"/>
      <c r="D5" s="7" t="s">
        <v>20</v>
      </c>
      <c r="E5" s="13" t="s">
        <v>19</v>
      </c>
      <c r="F5" s="8" t="s">
        <v>22</v>
      </c>
      <c r="G5" s="9" t="s">
        <v>23</v>
      </c>
      <c r="H5" s="3"/>
    </row>
    <row r="6" spans="1:9" x14ac:dyDescent="0.25">
      <c r="A6" s="6" t="s">
        <v>21</v>
      </c>
      <c r="B6" s="14">
        <v>300000</v>
      </c>
      <c r="D6" s="10" t="s">
        <v>1</v>
      </c>
      <c r="E6" s="11">
        <v>120000</v>
      </c>
      <c r="F6" s="11">
        <f>IF(E6&lt;=$B$6,E6,$B$6)</f>
        <v>120000</v>
      </c>
      <c r="G6" s="12">
        <f>IF(E6&lt;=$B$6,0,E6-$B$6)</f>
        <v>0</v>
      </c>
      <c r="H6" s="4"/>
      <c r="I6" s="5"/>
    </row>
    <row r="7" spans="1:9" x14ac:dyDescent="0.25">
      <c r="D7" s="10" t="s">
        <v>2</v>
      </c>
      <c r="E7" s="11">
        <v>455000</v>
      </c>
      <c r="F7" s="11">
        <f t="shared" ref="F7:F23" si="0">IF(E7&lt;=$B$6,E7,$B$6)</f>
        <v>300000</v>
      </c>
      <c r="G7" s="12">
        <f t="shared" ref="G7:G23" si="1">IF(E7&lt;=$B$6,0,E7-$B$6)</f>
        <v>155000</v>
      </c>
      <c r="H7" s="4"/>
      <c r="I7" s="5"/>
    </row>
    <row r="8" spans="1:9" x14ac:dyDescent="0.25">
      <c r="A8" s="1"/>
      <c r="B8" s="2"/>
      <c r="D8" s="10" t="s">
        <v>3</v>
      </c>
      <c r="E8" s="11">
        <v>0</v>
      </c>
      <c r="F8" s="11">
        <f t="shared" si="0"/>
        <v>0</v>
      </c>
      <c r="G8" s="12">
        <f t="shared" si="1"/>
        <v>0</v>
      </c>
      <c r="H8" s="4"/>
      <c r="I8" s="5"/>
    </row>
    <row r="9" spans="1:9" x14ac:dyDescent="0.25">
      <c r="D9" s="10" t="s">
        <v>4</v>
      </c>
      <c r="E9" s="11">
        <v>0</v>
      </c>
      <c r="F9" s="11">
        <f t="shared" si="0"/>
        <v>0</v>
      </c>
      <c r="G9" s="12">
        <f t="shared" si="1"/>
        <v>0</v>
      </c>
      <c r="H9" s="4"/>
      <c r="I9" s="5"/>
    </row>
    <row r="10" spans="1:9" x14ac:dyDescent="0.25">
      <c r="A10" s="1"/>
      <c r="B10" s="2"/>
      <c r="D10" s="10" t="s">
        <v>5</v>
      </c>
      <c r="E10" s="11">
        <v>515000</v>
      </c>
      <c r="F10" s="11">
        <f t="shared" si="0"/>
        <v>300000</v>
      </c>
      <c r="G10" s="12">
        <f t="shared" si="1"/>
        <v>215000</v>
      </c>
      <c r="H10" s="4"/>
      <c r="I10" s="5"/>
    </row>
    <row r="11" spans="1:9" x14ac:dyDescent="0.25">
      <c r="D11" s="10" t="s">
        <v>6</v>
      </c>
      <c r="E11" s="11">
        <v>0</v>
      </c>
      <c r="F11" s="11">
        <f t="shared" si="0"/>
        <v>0</v>
      </c>
      <c r="G11" s="12">
        <f t="shared" si="1"/>
        <v>0</v>
      </c>
      <c r="H11" s="4"/>
      <c r="I11" s="5"/>
    </row>
    <row r="12" spans="1:9" x14ac:dyDescent="0.25">
      <c r="D12" s="10" t="s">
        <v>7</v>
      </c>
      <c r="E12" s="11">
        <v>70000</v>
      </c>
      <c r="F12" s="11">
        <f t="shared" si="0"/>
        <v>70000</v>
      </c>
      <c r="G12" s="12">
        <f t="shared" si="1"/>
        <v>0</v>
      </c>
      <c r="H12" s="4"/>
      <c r="I12" s="5"/>
    </row>
    <row r="13" spans="1:9" x14ac:dyDescent="0.25">
      <c r="D13" s="10" t="s">
        <v>8</v>
      </c>
      <c r="E13" s="11">
        <v>20000</v>
      </c>
      <c r="F13" s="11">
        <f t="shared" si="0"/>
        <v>20000</v>
      </c>
      <c r="G13" s="12">
        <f t="shared" si="1"/>
        <v>0</v>
      </c>
      <c r="H13" s="4"/>
      <c r="I13" s="5"/>
    </row>
    <row r="14" spans="1:9" x14ac:dyDescent="0.25">
      <c r="D14" s="10" t="s">
        <v>9</v>
      </c>
      <c r="E14" s="11">
        <v>679000</v>
      </c>
      <c r="F14" s="11">
        <f t="shared" si="0"/>
        <v>300000</v>
      </c>
      <c r="G14" s="12">
        <f t="shared" si="1"/>
        <v>379000</v>
      </c>
      <c r="H14" s="4"/>
      <c r="I14" s="5"/>
    </row>
    <row r="15" spans="1:9" x14ac:dyDescent="0.25">
      <c r="D15" s="10" t="s">
        <v>10</v>
      </c>
      <c r="E15" s="11">
        <v>488000</v>
      </c>
      <c r="F15" s="11">
        <f t="shared" si="0"/>
        <v>300000</v>
      </c>
      <c r="G15" s="12">
        <f t="shared" si="1"/>
        <v>188000</v>
      </c>
      <c r="H15" s="4"/>
      <c r="I15" s="5"/>
    </row>
    <row r="16" spans="1:9" x14ac:dyDescent="0.25">
      <c r="D16" s="10" t="s">
        <v>11</v>
      </c>
      <c r="E16" s="11">
        <v>920000</v>
      </c>
      <c r="F16" s="11">
        <f t="shared" si="0"/>
        <v>300000</v>
      </c>
      <c r="G16" s="12">
        <f t="shared" si="1"/>
        <v>620000</v>
      </c>
      <c r="H16" s="4"/>
      <c r="I16" s="5"/>
    </row>
    <row r="17" spans="4:9" x14ac:dyDescent="0.25">
      <c r="D17" s="10" t="s">
        <v>12</v>
      </c>
      <c r="E17" s="11">
        <v>23000</v>
      </c>
      <c r="F17" s="11">
        <f t="shared" si="0"/>
        <v>23000</v>
      </c>
      <c r="G17" s="12">
        <f t="shared" si="1"/>
        <v>0</v>
      </c>
      <c r="H17" s="4"/>
      <c r="I17" s="5"/>
    </row>
    <row r="18" spans="4:9" x14ac:dyDescent="0.25">
      <c r="D18" s="10" t="s">
        <v>13</v>
      </c>
      <c r="E18" s="11">
        <v>311000</v>
      </c>
      <c r="F18" s="11">
        <f t="shared" si="0"/>
        <v>300000</v>
      </c>
      <c r="G18" s="12">
        <f t="shared" si="1"/>
        <v>11000</v>
      </c>
      <c r="H18" s="4"/>
      <c r="I18" s="5"/>
    </row>
    <row r="19" spans="4:9" x14ac:dyDescent="0.25">
      <c r="D19" s="10" t="s">
        <v>14</v>
      </c>
      <c r="E19" s="11">
        <v>0</v>
      </c>
      <c r="F19" s="11">
        <f t="shared" si="0"/>
        <v>0</v>
      </c>
      <c r="G19" s="12">
        <f t="shared" si="1"/>
        <v>0</v>
      </c>
      <c r="H19" s="4"/>
      <c r="I19" s="5"/>
    </row>
    <row r="20" spans="4:9" x14ac:dyDescent="0.25">
      <c r="D20" s="10" t="s">
        <v>15</v>
      </c>
      <c r="E20" s="11">
        <v>280000</v>
      </c>
      <c r="F20" s="11">
        <f t="shared" si="0"/>
        <v>280000</v>
      </c>
      <c r="G20" s="12">
        <f t="shared" si="1"/>
        <v>0</v>
      </c>
      <c r="H20" s="4"/>
      <c r="I20" s="5"/>
    </row>
    <row r="21" spans="4:9" x14ac:dyDescent="0.25">
      <c r="D21" s="10" t="s">
        <v>16</v>
      </c>
      <c r="E21" s="11">
        <v>5000</v>
      </c>
      <c r="F21" s="11">
        <f t="shared" si="0"/>
        <v>5000</v>
      </c>
      <c r="G21" s="12">
        <f t="shared" si="1"/>
        <v>0</v>
      </c>
      <c r="H21" s="4"/>
      <c r="I21" s="5"/>
    </row>
    <row r="22" spans="4:9" x14ac:dyDescent="0.25">
      <c r="D22" s="10" t="s">
        <v>17</v>
      </c>
      <c r="E22" s="11">
        <v>0</v>
      </c>
      <c r="F22" s="11">
        <f t="shared" si="0"/>
        <v>0</v>
      </c>
      <c r="G22" s="12">
        <f t="shared" si="1"/>
        <v>0</v>
      </c>
      <c r="H22" s="4"/>
      <c r="I22" s="5"/>
    </row>
    <row r="23" spans="4:9" x14ac:dyDescent="0.25">
      <c r="D23" s="10" t="s">
        <v>18</v>
      </c>
      <c r="E23" s="11">
        <v>177000</v>
      </c>
      <c r="F23" s="11">
        <f t="shared" si="0"/>
        <v>177000</v>
      </c>
      <c r="G23" s="12">
        <f t="shared" si="1"/>
        <v>0</v>
      </c>
      <c r="H23" s="4"/>
      <c r="I23" s="5"/>
    </row>
  </sheetData>
  <mergeCells count="3">
    <mergeCell ref="A1:I1"/>
    <mergeCell ref="A2:I2"/>
    <mergeCell ref="A5:B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Grafy</vt:lpstr>
      </vt:variant>
      <vt:variant>
        <vt:i4>1</vt:i4>
      </vt:variant>
    </vt:vector>
  </HeadingPairs>
  <TitlesOfParts>
    <vt:vector size="2" baseType="lpstr">
      <vt:lpstr>Habil-K08-Priklad_8.6</vt:lpstr>
      <vt:lpstr>Habil-K08-Priklad_8.6-graf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2022-09-17T07:57:25Z</dcterms:created>
  <dcterms:modified xsi:type="dcterms:W3CDTF">2025-11-16T06:40:36Z</dcterms:modified>
</cp:coreProperties>
</file>