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filterPrivacy="1" defaultThemeVersion="166925"/>
  <xr:revisionPtr revIDLastSave="8" documentId="13_ncr:1_{6E9F75C2-E8F4-4D7C-A9C8-D63CB9268F24}" xr6:coauthVersionLast="47" xr6:coauthVersionMax="47" xr10:uidLastSave="{C3E04E88-8A68-45E2-AAD3-E8492CE870CA}"/>
  <bookViews>
    <workbookView xWindow="-120" yWindow="-120" windowWidth="29040" windowHeight="15720" xr2:uid="{00000000-000D-0000-FFFF-FFFF00000000}"/>
  </bookViews>
  <sheets>
    <sheet name="Habil-K08-Priklad_8.3" sheetId="1" r:id="rId1"/>
    <sheet name="Habil-K08-Priklad_8.3-graf" sheetId="6" r:id="rId2"/>
    <sheet name="Habil-K08-Priklad_8.3-graf2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1" l="1"/>
  <c r="H7" i="1"/>
  <c r="H8" i="1"/>
  <c r="H9" i="1"/>
  <c r="H11" i="1"/>
  <c r="H6" i="1"/>
  <c r="I10" i="1" l="1"/>
  <c r="J10" i="1"/>
  <c r="N10" i="1" s="1"/>
  <c r="I8" i="1"/>
  <c r="J8" i="1"/>
  <c r="N8" i="1" s="1"/>
  <c r="I9" i="1"/>
  <c r="J9" i="1"/>
  <c r="N9" i="1" s="1"/>
  <c r="I7" i="1"/>
  <c r="J7" i="1"/>
  <c r="N7" i="1" s="1"/>
  <c r="J6" i="1"/>
  <c r="N6" i="1" s="1"/>
  <c r="I6" i="1"/>
  <c r="J11" i="1"/>
  <c r="N11" i="1" s="1"/>
  <c r="I11" i="1"/>
  <c r="L9" i="1" l="1"/>
  <c r="M9" i="1"/>
  <c r="L10" i="1"/>
  <c r="M10" i="1"/>
  <c r="L7" i="1"/>
  <c r="M7" i="1"/>
  <c r="L11" i="1"/>
  <c r="M11" i="1"/>
  <c r="L8" i="1"/>
  <c r="M8" i="1"/>
  <c r="L6" i="1"/>
  <c r="M6" i="1"/>
</calcChain>
</file>

<file path=xl/sharedStrings.xml><?xml version="1.0" encoding="utf-8"?>
<sst xmlns="http://schemas.openxmlformats.org/spreadsheetml/2006/main" count="19" uniqueCount="19">
  <si>
    <t>Gábor Szűcs, FMFI UK, Gabor.Szucs@fmph.uniba.sk</t>
  </si>
  <si>
    <t>1.</t>
  </si>
  <si>
    <t>2.</t>
  </si>
  <si>
    <t>3.</t>
  </si>
  <si>
    <t>4.</t>
  </si>
  <si>
    <t>5.</t>
  </si>
  <si>
    <t>6.</t>
  </si>
  <si>
    <t>výška poistného nároku</t>
  </si>
  <si>
    <t>por. číslo poistnej zmluvy</t>
  </si>
  <si>
    <t>výška škody prvopoisťovateľa</t>
  </si>
  <si>
    <t>výška škody zaisťovne</t>
  </si>
  <si>
    <t>výška poistnej sumy</t>
  </si>
  <si>
    <t>uznaná výška poistného nároku</t>
  </si>
  <si>
    <r>
      <t xml:space="preserve">efektívna kvóta pri danej poistnej zmluve
</t>
    </r>
    <r>
      <rPr>
        <i/>
        <sz val="11"/>
        <color theme="1"/>
        <rFont val="Calibri"/>
        <family val="2"/>
        <charset val="238"/>
        <scheme val="minor"/>
      </rPr>
      <t>q</t>
    </r>
    <r>
      <rPr>
        <i/>
        <vertAlign val="subscript"/>
        <sz val="11"/>
        <color theme="1"/>
        <rFont val="Calibri"/>
        <family val="2"/>
        <charset val="238"/>
        <scheme val="minor"/>
      </rPr>
      <t>i</t>
    </r>
  </si>
  <si>
    <t>podiel prvopoisťovateľa na poistnom plnení</t>
  </si>
  <si>
    <t>podiel zaisťovne na poistnom plnení</t>
  </si>
  <si>
    <t>kvóta (relatívny podiel prvopoisťovateľa na poistných sumách a poistných plneniach)</t>
  </si>
  <si>
    <r>
      <rPr>
        <i/>
        <sz val="11"/>
        <color theme="1"/>
        <rFont val="Calibri"/>
        <family val="2"/>
        <charset val="238"/>
      </rPr>
      <t>q</t>
    </r>
    <r>
      <rPr>
        <sz val="11"/>
        <color theme="1"/>
        <rFont val="Calibri"/>
        <family val="2"/>
        <charset val="238"/>
      </rPr>
      <t xml:space="preserve"> = </t>
    </r>
  </si>
  <si>
    <t>Habil - K08 - Zaistenie - Príklad 8.3 (Kvótové zaistenie)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</si>
</sst>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&quot;€&quot;"/>
    <numFmt numFmtId="165" formatCode="0.0"/>
  </numFmts>
  <fonts count="9" x14ac:knownFonts="1">
    <font>
      <sz val="11"/>
      <color theme="1"/>
      <name val="Calibri"/>
      <family val="2"/>
      <charset val="238"/>
      <scheme val="minor"/>
    </font>
    <font>
      <b/>
      <sz val="10"/>
      <name val="Arial CE"/>
      <charset val="238"/>
    </font>
    <font>
      <i/>
      <sz val="10"/>
      <name val="Arial CE"/>
      <charset val="238"/>
    </font>
    <font>
      <sz val="11"/>
      <color theme="1"/>
      <name val="Calibri"/>
      <family val="2"/>
      <charset val="238"/>
    </font>
    <font>
      <sz val="8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  <font>
      <i/>
      <vertAlign val="subscript"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i/>
      <sz val="11"/>
      <color theme="1"/>
      <name val="Calibri"/>
      <family val="2"/>
      <charset val="238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/>
    <xf numFmtId="164" fontId="0" fillId="0" borderId="2" xfId="0" applyNumberFormat="1" applyBorder="1"/>
    <xf numFmtId="0" fontId="0" fillId="3" borderId="2" xfId="0" applyFill="1" applyBorder="1" applyAlignment="1">
      <alignment horizontal="right"/>
    </xf>
    <xf numFmtId="164" fontId="0" fillId="3" borderId="2" xfId="0" applyNumberFormat="1" applyFill="1" applyBorder="1"/>
    <xf numFmtId="0" fontId="0" fillId="4" borderId="2" xfId="0" applyFill="1" applyBorder="1" applyAlignment="1">
      <alignment horizontal="center" wrapText="1"/>
    </xf>
    <xf numFmtId="164" fontId="0" fillId="0" borderId="2" xfId="0" applyNumberFormat="1" applyBorder="1" applyAlignment="1">
      <alignment horizontal="right"/>
    </xf>
    <xf numFmtId="0" fontId="0" fillId="5" borderId="2" xfId="0" applyFill="1" applyBorder="1" applyAlignment="1">
      <alignment horizontal="center" wrapText="1"/>
    </xf>
    <xf numFmtId="10" fontId="0" fillId="0" borderId="2" xfId="0" applyNumberFormat="1" applyBorder="1"/>
    <xf numFmtId="0" fontId="0" fillId="6" borderId="2" xfId="0" applyFill="1" applyBorder="1" applyAlignment="1">
      <alignment horizontal="center" wrapText="1"/>
    </xf>
    <xf numFmtId="164" fontId="0" fillId="6" borderId="2" xfId="0" applyNumberFormat="1" applyFill="1" applyBorder="1"/>
    <xf numFmtId="0" fontId="3" fillId="2" borderId="4" xfId="0" applyFont="1" applyFill="1" applyBorder="1" applyAlignment="1">
      <alignment horizontal="right"/>
    </xf>
    <xf numFmtId="0" fontId="0" fillId="7" borderId="2" xfId="0" applyFill="1" applyBorder="1" applyAlignment="1">
      <alignment horizontal="center" wrapText="1"/>
    </xf>
    <xf numFmtId="0" fontId="7" fillId="8" borderId="2" xfId="0" applyFont="1" applyFill="1" applyBorder="1" applyAlignment="1">
      <alignment horizontal="center" wrapText="1"/>
    </xf>
    <xf numFmtId="165" fontId="0" fillId="2" borderId="3" xfId="0" applyNumberFormat="1" applyFill="1" applyBorder="1" applyAlignment="1">
      <alignment horizontal="left"/>
    </xf>
    <xf numFmtId="165" fontId="0" fillId="5" borderId="2" xfId="0" applyNumberForma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2" borderId="6" xfId="0" applyFont="1" applyFill="1" applyBorder="1" applyAlignment="1">
      <alignment horizontal="center" wrapText="1"/>
    </xf>
    <xf numFmtId="0" fontId="5" fillId="2" borderId="5" xfId="0" applyFont="1" applyFill="1" applyBorder="1" applyAlignment="1">
      <alignment horizontal="center" wrapText="1"/>
    </xf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hartsheet" Target="chartsheets/sheet2.xml"/><Relationship Id="rId7" Type="http://schemas.openxmlformats.org/officeDocument/2006/relationships/calcChain" Target="calcChain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sk-SK" sz="1800">
                <a:solidFill>
                  <a:sysClr val="windowText" lastClr="000000"/>
                </a:solidFill>
              </a:rPr>
              <a:t>Výšky škôd</a:t>
            </a:r>
            <a:r>
              <a:rPr lang="sk-SK" sz="1800" baseline="0">
                <a:solidFill>
                  <a:sysClr val="windowText" lastClr="000000"/>
                </a:solidFill>
              </a:rPr>
              <a:t> prvopoisťovateľa a zaisťovne </a:t>
            </a:r>
            <a:r>
              <a:rPr lang="sk-SK" sz="1800" b="1" baseline="0">
                <a:solidFill>
                  <a:sysClr val="windowText" lastClr="000000"/>
                </a:solidFill>
              </a:rPr>
              <a:t>pri kvótovom zaistení</a:t>
            </a:r>
            <a:endParaRPr lang="sk-SK" sz="18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'Habil-K08-Priklad_8.3'!$I$5</c:f>
              <c:strCache>
                <c:ptCount val="1"/>
                <c:pt idx="0">
                  <c:v>výška škody prvopoisťovateľa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'Habil-K08-Priklad_8.3'!$I$6:$I$11</c:f>
              <c:numCache>
                <c:formatCode>#\ ##0\ "€"</c:formatCode>
                <c:ptCount val="6"/>
                <c:pt idx="0">
                  <c:v>200</c:v>
                </c:pt>
                <c:pt idx="1">
                  <c:v>1200</c:v>
                </c:pt>
                <c:pt idx="2">
                  <c:v>2400</c:v>
                </c:pt>
                <c:pt idx="3">
                  <c:v>360</c:v>
                </c:pt>
                <c:pt idx="4">
                  <c:v>2000</c:v>
                </c:pt>
                <c:pt idx="5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30-4708-A91F-BBC1DF701522}"/>
            </c:ext>
          </c:extLst>
        </c:ser>
        <c:ser>
          <c:idx val="1"/>
          <c:order val="1"/>
          <c:tx>
            <c:strRef>
              <c:f>'Habil-K08-Priklad_8.3'!$J$5</c:f>
              <c:strCache>
                <c:ptCount val="1"/>
                <c:pt idx="0">
                  <c:v>výška škody zaisťovne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'Habil-K08-Priklad_8.3'!$J$6:$J$11</c:f>
              <c:numCache>
                <c:formatCode>#\ ##0\ "€"</c:formatCode>
                <c:ptCount val="6"/>
                <c:pt idx="0">
                  <c:v>300</c:v>
                </c:pt>
                <c:pt idx="1">
                  <c:v>1800</c:v>
                </c:pt>
                <c:pt idx="2">
                  <c:v>3600</c:v>
                </c:pt>
                <c:pt idx="3">
                  <c:v>540</c:v>
                </c:pt>
                <c:pt idx="4">
                  <c:v>3000</c:v>
                </c:pt>
                <c:pt idx="5">
                  <c:v>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30-4708-A91F-BBC1DF7015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42072488"/>
        <c:axId val="542075440"/>
      </c:barChart>
      <c:catAx>
        <c:axId val="542072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 sz="1600">
                    <a:solidFill>
                      <a:sysClr val="windowText" lastClr="000000"/>
                    </a:solidFill>
                  </a:rPr>
                  <a:t>poradové číslo</a:t>
                </a:r>
                <a:r>
                  <a:rPr lang="sk-SK" sz="1600" baseline="0">
                    <a:solidFill>
                      <a:sysClr val="windowText" lastClr="000000"/>
                    </a:solidFill>
                  </a:rPr>
                  <a:t> poistnej zmluvy</a:t>
                </a:r>
                <a:endParaRPr lang="sk-SK" sz="16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542075440"/>
        <c:crosses val="autoZero"/>
        <c:auto val="1"/>
        <c:lblAlgn val="ctr"/>
        <c:lblOffset val="100"/>
        <c:noMultiLvlLbl val="0"/>
      </c:catAx>
      <c:valAx>
        <c:axId val="54207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 sz="1600">
                    <a:solidFill>
                      <a:sysClr val="windowText" lastClr="000000"/>
                    </a:solidFill>
                  </a:rPr>
                  <a:t>výška poistného plnenia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#,##0\ &quot;€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542072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k-SK" sz="1800" b="0" i="0" baseline="0">
                <a:solidFill>
                  <a:sysClr val="windowText" lastClr="000000"/>
                </a:solidFill>
                <a:effectLst/>
              </a:rPr>
              <a:t>Relatívny podiel prvopoisťovateľa a zaisťovne na poistných plneniach </a:t>
            </a:r>
            <a:r>
              <a:rPr lang="sk-SK" sz="1800" b="1" i="0" baseline="0">
                <a:solidFill>
                  <a:sysClr val="windowText" lastClr="000000"/>
                </a:solidFill>
                <a:effectLst/>
              </a:rPr>
              <a:t>pri kvótovom zaistení</a:t>
            </a:r>
            <a:endParaRPr lang="sk-SK" b="1">
              <a:solidFill>
                <a:sysClr val="windowText" lastClr="000000"/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'Habil-K08-Priklad_8.3'!$M$5</c:f>
              <c:strCache>
                <c:ptCount val="1"/>
                <c:pt idx="0">
                  <c:v>podiel prvopoisťovateľa na poistnom plnení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'Habil-K08-Priklad_8.3'!$I$6:$I$11</c:f>
              <c:numCache>
                <c:formatCode>#\ ##0\ "€"</c:formatCode>
                <c:ptCount val="6"/>
                <c:pt idx="0">
                  <c:v>200</c:v>
                </c:pt>
                <c:pt idx="1">
                  <c:v>1200</c:v>
                </c:pt>
                <c:pt idx="2">
                  <c:v>2400</c:v>
                </c:pt>
                <c:pt idx="3">
                  <c:v>360</c:v>
                </c:pt>
                <c:pt idx="4">
                  <c:v>2000</c:v>
                </c:pt>
                <c:pt idx="5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8F-454F-9E89-7C5B4422F660}"/>
            </c:ext>
          </c:extLst>
        </c:ser>
        <c:ser>
          <c:idx val="1"/>
          <c:order val="1"/>
          <c:tx>
            <c:strRef>
              <c:f>'Habil-K08-Priklad_8.3'!$N$5</c:f>
              <c:strCache>
                <c:ptCount val="1"/>
                <c:pt idx="0">
                  <c:v>podiel zaisťovne na poistnom plnení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'Habil-K08-Priklad_8.3'!$J$6:$J$11</c:f>
              <c:numCache>
                <c:formatCode>#\ ##0\ "€"</c:formatCode>
                <c:ptCount val="6"/>
                <c:pt idx="0">
                  <c:v>300</c:v>
                </c:pt>
                <c:pt idx="1">
                  <c:v>1800</c:v>
                </c:pt>
                <c:pt idx="2">
                  <c:v>3600</c:v>
                </c:pt>
                <c:pt idx="3">
                  <c:v>540</c:v>
                </c:pt>
                <c:pt idx="4">
                  <c:v>3000</c:v>
                </c:pt>
                <c:pt idx="5">
                  <c:v>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8F-454F-9E89-7C5B4422F6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42072488"/>
        <c:axId val="542075440"/>
      </c:barChart>
      <c:catAx>
        <c:axId val="542072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 sz="1600">
                    <a:solidFill>
                      <a:sysClr val="windowText" lastClr="000000"/>
                    </a:solidFill>
                  </a:rPr>
                  <a:t>poradové číslo</a:t>
                </a:r>
                <a:r>
                  <a:rPr lang="sk-SK" sz="1600" baseline="0">
                    <a:solidFill>
                      <a:sysClr val="windowText" lastClr="000000"/>
                    </a:solidFill>
                  </a:rPr>
                  <a:t> poistnej zmluvy</a:t>
                </a:r>
                <a:endParaRPr lang="sk-SK" sz="16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542075440"/>
        <c:crosses val="autoZero"/>
        <c:auto val="1"/>
        <c:lblAlgn val="ctr"/>
        <c:lblOffset val="100"/>
        <c:noMultiLvlLbl val="0"/>
      </c:catAx>
      <c:valAx>
        <c:axId val="54207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 sz="1600">
                    <a:solidFill>
                      <a:sysClr val="windowText" lastClr="000000"/>
                    </a:solidFill>
                  </a:rPr>
                  <a:t>podiely</a:t>
                </a:r>
                <a:r>
                  <a:rPr lang="sk-SK" sz="1600" baseline="0">
                    <a:solidFill>
                      <a:sysClr val="windowText" lastClr="000000"/>
                    </a:solidFill>
                  </a:rPr>
                  <a:t> prvopoisťovateľa a zaisťovne na poistnom plnení</a:t>
                </a:r>
                <a:endParaRPr lang="sk-SK" sz="16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542072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/>
  <sheetViews>
    <sheetView zoomScale="112" workbookViewId="0" zoomToFit="1"/>
  </sheetViews>
  <pageMargins left="0.7" right="0.7" top="0.75" bottom="0.75" header="0.3" footer="0.3"/>
  <pageSetup paperSize="9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zoomScale="112" workbookViewId="0" zoomToFit="1"/>
  </sheetViews>
  <pageMargins left="0.7" right="0.7" top="0.75" bottom="0.75" header="0.3" footer="0.3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5379" cy="6021161"/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5379" cy="6021161"/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Motív Office 2013 – 2022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zoomScaleNormal="100" workbookViewId="0">
      <selection sqref="A1:I1"/>
    </sheetView>
  </sheetViews>
  <sheetFormatPr defaultRowHeight="15" x14ac:dyDescent="0.25"/>
  <cols>
    <col min="2" max="2" width="17.140625" customWidth="1"/>
    <col min="3" max="4" width="9.140625" customWidth="1"/>
    <col min="5" max="5" width="17.140625" customWidth="1"/>
    <col min="6" max="6" width="9.140625" customWidth="1"/>
    <col min="7" max="10" width="17.140625" customWidth="1"/>
    <col min="12" max="14" width="17.140625" customWidth="1"/>
  </cols>
  <sheetData>
    <row r="1" spans="1:14" ht="33" customHeight="1" x14ac:dyDescent="0.25">
      <c r="A1" s="17" t="s">
        <v>18</v>
      </c>
      <c r="B1" s="18"/>
      <c r="C1" s="18"/>
      <c r="D1" s="18"/>
      <c r="E1" s="18"/>
      <c r="F1" s="18"/>
      <c r="G1" s="18"/>
      <c r="H1" s="18"/>
      <c r="I1" s="18"/>
    </row>
    <row r="2" spans="1:14" ht="20.25" customHeight="1" x14ac:dyDescent="0.25">
      <c r="A2" s="19" t="s">
        <v>0</v>
      </c>
      <c r="B2" s="19"/>
      <c r="C2" s="19"/>
      <c r="D2" s="19"/>
      <c r="E2" s="19"/>
      <c r="F2" s="19"/>
      <c r="G2" s="19"/>
      <c r="H2" s="19"/>
      <c r="I2" s="19"/>
    </row>
    <row r="5" spans="1:14" ht="76.5" customHeight="1" x14ac:dyDescent="0.35">
      <c r="A5" s="20" t="s">
        <v>16</v>
      </c>
      <c r="B5" s="21"/>
      <c r="D5" s="6" t="s">
        <v>8</v>
      </c>
      <c r="E5" s="6" t="s">
        <v>11</v>
      </c>
      <c r="G5" s="10" t="s">
        <v>7</v>
      </c>
      <c r="H5" s="10" t="s">
        <v>12</v>
      </c>
      <c r="I5" s="13" t="s">
        <v>9</v>
      </c>
      <c r="J5" s="14" t="s">
        <v>10</v>
      </c>
      <c r="L5" s="8" t="s">
        <v>13</v>
      </c>
      <c r="M5" s="13" t="s">
        <v>14</v>
      </c>
      <c r="N5" s="14" t="s">
        <v>15</v>
      </c>
    </row>
    <row r="6" spans="1:14" x14ac:dyDescent="0.25">
      <c r="A6" s="12" t="s">
        <v>17</v>
      </c>
      <c r="B6" s="15">
        <v>0.4</v>
      </c>
      <c r="D6" s="4" t="s">
        <v>1</v>
      </c>
      <c r="E6" s="5">
        <v>1000</v>
      </c>
      <c r="G6" s="11">
        <v>500</v>
      </c>
      <c r="H6" s="11">
        <f>IF(G6&lt;=E6,G6,E6)</f>
        <v>500</v>
      </c>
      <c r="I6" s="3">
        <f>$B$6*H6</f>
        <v>200</v>
      </c>
      <c r="J6" s="7">
        <f>(1-$B$6)*H6</f>
        <v>300</v>
      </c>
      <c r="L6" s="16">
        <f>I6/H6</f>
        <v>0.4</v>
      </c>
      <c r="M6" s="9">
        <f>I6/H6</f>
        <v>0.4</v>
      </c>
      <c r="N6" s="9">
        <f>J6/H6</f>
        <v>0.6</v>
      </c>
    </row>
    <row r="7" spans="1:14" x14ac:dyDescent="0.25">
      <c r="D7" s="4" t="s">
        <v>2</v>
      </c>
      <c r="E7" s="5">
        <v>3000</v>
      </c>
      <c r="G7" s="11">
        <v>3000</v>
      </c>
      <c r="H7" s="11">
        <f t="shared" ref="H7:H11" si="0">IF(G7&lt;=E7,G7,E7)</f>
        <v>3000</v>
      </c>
      <c r="I7" s="3">
        <f t="shared" ref="I7:I11" si="1">$B$6*H7</f>
        <v>1200</v>
      </c>
      <c r="J7" s="7">
        <f t="shared" ref="J7:J11" si="2">(1-$B$6)*H7</f>
        <v>1800</v>
      </c>
      <c r="L7" s="16">
        <f t="shared" ref="L7:L11" si="3">I7/H7</f>
        <v>0.4</v>
      </c>
      <c r="M7" s="9">
        <f t="shared" ref="M7:M11" si="4">I7/H7</f>
        <v>0.4</v>
      </c>
      <c r="N7" s="9">
        <f t="shared" ref="N7:N11" si="5">J7/H7</f>
        <v>0.6</v>
      </c>
    </row>
    <row r="8" spans="1:14" x14ac:dyDescent="0.25">
      <c r="A8" s="1"/>
      <c r="B8" s="2"/>
      <c r="D8" s="4" t="s">
        <v>3</v>
      </c>
      <c r="E8" s="5">
        <v>8000</v>
      </c>
      <c r="G8" s="11">
        <v>6000</v>
      </c>
      <c r="H8" s="11">
        <f t="shared" si="0"/>
        <v>6000</v>
      </c>
      <c r="I8" s="3">
        <f t="shared" si="1"/>
        <v>2400</v>
      </c>
      <c r="J8" s="7">
        <f t="shared" si="2"/>
        <v>3600</v>
      </c>
      <c r="L8" s="16">
        <f t="shared" si="3"/>
        <v>0.4</v>
      </c>
      <c r="M8" s="9">
        <f t="shared" si="4"/>
        <v>0.4</v>
      </c>
      <c r="N8" s="9">
        <f t="shared" si="5"/>
        <v>0.6</v>
      </c>
    </row>
    <row r="9" spans="1:14" x14ac:dyDescent="0.25">
      <c r="D9" s="4" t="s">
        <v>4</v>
      </c>
      <c r="E9" s="5">
        <v>1000</v>
      </c>
      <c r="G9" s="11">
        <v>900</v>
      </c>
      <c r="H9" s="11">
        <f t="shared" si="0"/>
        <v>900</v>
      </c>
      <c r="I9" s="3">
        <f t="shared" si="1"/>
        <v>360</v>
      </c>
      <c r="J9" s="7">
        <f t="shared" si="2"/>
        <v>540</v>
      </c>
      <c r="L9" s="16">
        <f t="shared" si="3"/>
        <v>0.4</v>
      </c>
      <c r="M9" s="9">
        <f t="shared" si="4"/>
        <v>0.4</v>
      </c>
      <c r="N9" s="9">
        <f t="shared" si="5"/>
        <v>0.6</v>
      </c>
    </row>
    <row r="10" spans="1:14" x14ac:dyDescent="0.25">
      <c r="A10" s="1"/>
      <c r="B10" s="2"/>
      <c r="D10" s="4" t="s">
        <v>5</v>
      </c>
      <c r="E10" s="5">
        <v>5000</v>
      </c>
      <c r="G10" s="11">
        <v>9000</v>
      </c>
      <c r="H10" s="11">
        <f>IF(G10&lt;=E10,G10,E10)</f>
        <v>5000</v>
      </c>
      <c r="I10" s="3">
        <f t="shared" si="1"/>
        <v>2000</v>
      </c>
      <c r="J10" s="7">
        <f t="shared" si="2"/>
        <v>3000</v>
      </c>
      <c r="L10" s="16">
        <f t="shared" si="3"/>
        <v>0.4</v>
      </c>
      <c r="M10" s="9">
        <f t="shared" si="4"/>
        <v>0.4</v>
      </c>
      <c r="N10" s="9">
        <f t="shared" si="5"/>
        <v>0.6</v>
      </c>
    </row>
    <row r="11" spans="1:14" x14ac:dyDescent="0.25">
      <c r="D11" s="4" t="s">
        <v>6</v>
      </c>
      <c r="E11" s="5">
        <v>3000</v>
      </c>
      <c r="G11" s="11">
        <v>1500</v>
      </c>
      <c r="H11" s="11">
        <f t="shared" si="0"/>
        <v>1500</v>
      </c>
      <c r="I11" s="3">
        <f t="shared" si="1"/>
        <v>600</v>
      </c>
      <c r="J11" s="7">
        <f t="shared" si="2"/>
        <v>900</v>
      </c>
      <c r="L11" s="16">
        <f t="shared" si="3"/>
        <v>0.4</v>
      </c>
      <c r="M11" s="9">
        <f t="shared" si="4"/>
        <v>0.4</v>
      </c>
      <c r="N11" s="9">
        <f t="shared" si="5"/>
        <v>0.6</v>
      </c>
    </row>
  </sheetData>
  <mergeCells count="3">
    <mergeCell ref="A1:I1"/>
    <mergeCell ref="A2:I2"/>
    <mergeCell ref="A5:B5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Hárky</vt:lpstr>
      </vt:variant>
      <vt:variant>
        <vt:i4>1</vt:i4>
      </vt:variant>
      <vt:variant>
        <vt:lpstr>Grafy</vt:lpstr>
      </vt:variant>
      <vt:variant>
        <vt:i4>2</vt:i4>
      </vt:variant>
    </vt:vector>
  </HeadingPairs>
  <TitlesOfParts>
    <vt:vector size="3" baseType="lpstr">
      <vt:lpstr>Habil-K08-Priklad_8.3</vt:lpstr>
      <vt:lpstr>Habil-K08-Priklad_8.3-graf</vt:lpstr>
      <vt:lpstr>Habil-K08-Priklad_8.3-graf2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2022-09-17T07:56:19Z</dcterms:created>
  <dcterms:modified xsi:type="dcterms:W3CDTF">2025-11-16T06:40:18Z</dcterms:modified>
</cp:coreProperties>
</file>