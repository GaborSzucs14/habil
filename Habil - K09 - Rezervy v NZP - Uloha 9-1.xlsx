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queryTables/queryTable3.xml" ContentType="application/vnd.openxmlformats-officedocument.spreadsheetml.queryTable+xml"/>
  <Override PartName="/xl/drawings/drawing4.xml" ContentType="application/vnd.openxmlformats-officedocument.drawing+xml"/>
  <Override PartName="/xl/queryTables/queryTable4.xml" ContentType="application/vnd.openxmlformats-officedocument.spreadsheetml.queryTable+xml"/>
  <Override PartName="/xl/drawings/drawing5.xml" ContentType="application/vnd.openxmlformats-officedocument.drawing+xml"/>
  <Override PartName="/xl/queryTables/queryTable5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124226"/>
  <xr:revisionPtr revIDLastSave="14" documentId="13_ncr:1_{63596AFA-1855-49E5-A2F4-3F43ACADE88D}" xr6:coauthVersionLast="47" xr6:coauthVersionMax="47" xr10:uidLastSave="{166F4B8F-83A5-434F-ADFC-0DDF30E5BFCD}"/>
  <bookViews>
    <workbookView xWindow="-120" yWindow="-120" windowWidth="29040" windowHeight="15720" xr2:uid="{00000000-000D-0000-FFFF-FFFF00000000}"/>
  </bookViews>
  <sheets>
    <sheet name="Habil-K09-Uloha_9.1-A" sheetId="3" r:id="rId1"/>
    <sheet name="Habil-K09-Uloha_9.1-B" sheetId="5" r:id="rId2"/>
    <sheet name="Habil-K09-Uloha_9.1-C" sheetId="4" r:id="rId3"/>
    <sheet name="Habil-K09-Uloha_9.1-D" sheetId="6" r:id="rId4"/>
    <sheet name="Habil-K09-Uloha_9.1-E" sheetId="7" r:id="rId5"/>
  </sheets>
  <definedNames>
    <definedName name="nekumulativny_trojuholnik" localSheetId="0">'Habil-K09-Uloha_9.1-A'!$A$10:$I$16</definedName>
    <definedName name="nekumulativny_trojuholnik" localSheetId="1">'Habil-K09-Uloha_9.1-B'!$A$10:$I$16</definedName>
    <definedName name="nekumulativny_trojuholnik" localSheetId="2">'Habil-K09-Uloha_9.1-C'!$A$10:$I$16</definedName>
    <definedName name="nekumulativny_trojuholnik" localSheetId="3">'Habil-K09-Uloha_9.1-D'!$A$10:$I$16</definedName>
    <definedName name="nekumulativny_trojuholnik" localSheetId="4">'Habil-K09-Uloha_9.1-E'!$A$10:$I$16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61" i="4" l="1"/>
  <c r="B43" i="6"/>
  <c r="B54" i="6" s="1"/>
  <c r="E118" i="7" l="1"/>
  <c r="E117" i="7"/>
  <c r="E116" i="7"/>
  <c r="E115" i="7"/>
  <c r="E114" i="7"/>
  <c r="B48" i="6"/>
  <c r="C43" i="6"/>
  <c r="B42" i="7" l="1"/>
  <c r="B41" i="7"/>
  <c r="B40" i="7"/>
  <c r="B39" i="7"/>
  <c r="B38" i="7"/>
  <c r="B37" i="7"/>
  <c r="C48" i="7" s="1"/>
  <c r="K21" i="7"/>
  <c r="K20" i="7"/>
  <c r="K19" i="7"/>
  <c r="K18" i="7"/>
  <c r="K17" i="7"/>
  <c r="K16" i="7"/>
  <c r="L16" i="7" s="1"/>
  <c r="K15" i="7"/>
  <c r="L15" i="7" s="1"/>
  <c r="K14" i="7"/>
  <c r="L14" i="7" s="1"/>
  <c r="L13" i="7"/>
  <c r="M13" i="7" s="1"/>
  <c r="K13" i="7"/>
  <c r="K12" i="7"/>
  <c r="K11" i="7"/>
  <c r="O11" i="7" l="1"/>
  <c r="M14" i="7"/>
  <c r="N13" i="7"/>
  <c r="O12" i="7"/>
  <c r="L11" i="7"/>
  <c r="M11" i="7" s="1"/>
  <c r="L12" i="7"/>
  <c r="N11" i="7"/>
  <c r="M12" i="7"/>
  <c r="N15" i="7"/>
  <c r="O14" i="7"/>
  <c r="R11" i="7"/>
  <c r="M16" i="7"/>
  <c r="P13" i="7"/>
  <c r="Q12" i="7"/>
  <c r="O13" i="7"/>
  <c r="P12" i="7"/>
  <c r="M15" i="7"/>
  <c r="N14" i="7"/>
  <c r="Q11" i="7"/>
  <c r="P11" i="7"/>
  <c r="N12" i="7"/>
  <c r="K21" i="5"/>
  <c r="K20" i="5"/>
  <c r="K19" i="5"/>
  <c r="K18" i="5"/>
  <c r="K17" i="5"/>
  <c r="D76" i="6"/>
  <c r="B53" i="7"/>
  <c r="C52" i="7"/>
  <c r="B52" i="7"/>
  <c r="D51" i="7"/>
  <c r="C51" i="7"/>
  <c r="B51" i="7"/>
  <c r="E50" i="7"/>
  <c r="D50" i="7"/>
  <c r="C50" i="7"/>
  <c r="B50" i="7"/>
  <c r="F49" i="7"/>
  <c r="E49" i="7"/>
  <c r="D49" i="7"/>
  <c r="C49" i="7"/>
  <c r="B49" i="7"/>
  <c r="C60" i="7" s="1"/>
  <c r="G48" i="7"/>
  <c r="F48" i="7"/>
  <c r="E48" i="7"/>
  <c r="D48" i="7"/>
  <c r="B48" i="7"/>
  <c r="B32" i="7"/>
  <c r="C42" i="7" s="1"/>
  <c r="D42" i="7" s="1"/>
  <c r="C31" i="7"/>
  <c r="B31" i="7"/>
  <c r="C41" i="7" s="1"/>
  <c r="D41" i="7" s="1"/>
  <c r="D30" i="7"/>
  <c r="C30" i="7"/>
  <c r="B30" i="7"/>
  <c r="C40" i="7" s="1"/>
  <c r="D40" i="7" s="1"/>
  <c r="E29" i="7"/>
  <c r="D29" i="7"/>
  <c r="C29" i="7"/>
  <c r="B29" i="7"/>
  <c r="C39" i="7" s="1"/>
  <c r="D39" i="7" s="1"/>
  <c r="F28" i="7"/>
  <c r="E28" i="7"/>
  <c r="D28" i="7"/>
  <c r="C28" i="7"/>
  <c r="B28" i="7"/>
  <c r="C38" i="7" s="1"/>
  <c r="D38" i="7" s="1"/>
  <c r="G27" i="7"/>
  <c r="F27" i="7"/>
  <c r="E27" i="7"/>
  <c r="D27" i="7"/>
  <c r="C27" i="7"/>
  <c r="B27" i="7"/>
  <c r="C37" i="7" s="1"/>
  <c r="D37" i="7" s="1"/>
  <c r="C35" i="6"/>
  <c r="B27" i="6"/>
  <c r="C26" i="6"/>
  <c r="B26" i="6"/>
  <c r="D25" i="6"/>
  <c r="C25" i="6"/>
  <c r="B25" i="6"/>
  <c r="E24" i="6"/>
  <c r="D24" i="6"/>
  <c r="C24" i="6"/>
  <c r="C36" i="6" s="1"/>
  <c r="B24" i="6"/>
  <c r="F23" i="6"/>
  <c r="E23" i="6"/>
  <c r="D23" i="6"/>
  <c r="C23" i="6"/>
  <c r="B23" i="6"/>
  <c r="G22" i="6"/>
  <c r="C33" i="6" s="1"/>
  <c r="F22" i="6"/>
  <c r="C34" i="6" s="1"/>
  <c r="E22" i="6"/>
  <c r="D22" i="6"/>
  <c r="C22" i="6"/>
  <c r="B22" i="6"/>
  <c r="B77" i="6"/>
  <c r="B78" i="6"/>
  <c r="B79" i="6"/>
  <c r="B80" i="6"/>
  <c r="B81" i="6"/>
  <c r="B76" i="6"/>
  <c r="C54" i="6"/>
  <c r="D33" i="6" l="1"/>
  <c r="E33" i="6" s="1"/>
  <c r="D77" i="6" s="1"/>
  <c r="E77" i="6" s="1"/>
  <c r="D36" i="6"/>
  <c r="E36" i="6" s="1"/>
  <c r="D80" i="6" s="1"/>
  <c r="C37" i="6"/>
  <c r="D37" i="6" s="1"/>
  <c r="E37" i="6" s="1"/>
  <c r="D81" i="6" s="1"/>
  <c r="C64" i="7"/>
  <c r="D64" i="7" s="1"/>
  <c r="C69" i="7" s="1"/>
  <c r="C70" i="7" s="1"/>
  <c r="C71" i="7" s="1"/>
  <c r="C72" i="7" s="1"/>
  <c r="C73" i="7" s="1"/>
  <c r="C59" i="7"/>
  <c r="C63" i="7"/>
  <c r="C62" i="7"/>
  <c r="C61" i="7"/>
  <c r="D35" i="6"/>
  <c r="E35" i="6" s="1"/>
  <c r="D79" i="6" s="1"/>
  <c r="D34" i="6"/>
  <c r="E34" i="6" s="1"/>
  <c r="D78" i="6" s="1"/>
  <c r="E106" i="5"/>
  <c r="E107" i="5"/>
  <c r="E108" i="5"/>
  <c r="E109" i="5"/>
  <c r="E105" i="5"/>
  <c r="E64" i="7" l="1"/>
  <c r="C69" i="6"/>
  <c r="C68" i="6"/>
  <c r="D68" i="6"/>
  <c r="C67" i="6"/>
  <c r="D67" i="6"/>
  <c r="E67" i="6"/>
  <c r="C66" i="6"/>
  <c r="D66" i="6"/>
  <c r="E66" i="6"/>
  <c r="F66" i="6"/>
  <c r="B66" i="6"/>
  <c r="B67" i="6"/>
  <c r="B68" i="6"/>
  <c r="B69" i="6"/>
  <c r="B70" i="6"/>
  <c r="C65" i="6"/>
  <c r="C70" i="6" s="1"/>
  <c r="D65" i="6"/>
  <c r="E65" i="6"/>
  <c r="F65" i="6"/>
  <c r="G65" i="6"/>
  <c r="B65" i="6"/>
  <c r="C47" i="6"/>
  <c r="C58" i="6" s="1"/>
  <c r="C46" i="6"/>
  <c r="C57" i="6" s="1"/>
  <c r="D46" i="6"/>
  <c r="D57" i="6" s="1"/>
  <c r="C45" i="6"/>
  <c r="C56" i="6" s="1"/>
  <c r="D45" i="6"/>
  <c r="D56" i="6" s="1"/>
  <c r="E45" i="6"/>
  <c r="E56" i="6" s="1"/>
  <c r="C44" i="6"/>
  <c r="C55" i="6" s="1"/>
  <c r="D44" i="6"/>
  <c r="D55" i="6" s="1"/>
  <c r="E44" i="6"/>
  <c r="E55" i="6" s="1"/>
  <c r="F44" i="6"/>
  <c r="F55" i="6" s="1"/>
  <c r="B44" i="6"/>
  <c r="B55" i="6" s="1"/>
  <c r="B45" i="6"/>
  <c r="B56" i="6" s="1"/>
  <c r="B46" i="6"/>
  <c r="B57" i="6" s="1"/>
  <c r="B47" i="6"/>
  <c r="B58" i="6" s="1"/>
  <c r="B59" i="6"/>
  <c r="D43" i="6"/>
  <c r="D54" i="6" s="1"/>
  <c r="E43" i="6"/>
  <c r="E54" i="6" s="1"/>
  <c r="F43" i="6"/>
  <c r="F54" i="6" s="1"/>
  <c r="G43" i="6"/>
  <c r="G54" i="6" s="1"/>
  <c r="D63" i="7" l="1"/>
  <c r="E68" i="6"/>
  <c r="E69" i="6"/>
  <c r="E70" i="6"/>
  <c r="H70" i="6" s="1"/>
  <c r="C81" i="6" s="1"/>
  <c r="H65" i="6"/>
  <c r="C76" i="6" s="1"/>
  <c r="G70" i="6"/>
  <c r="G66" i="6"/>
  <c r="G68" i="6"/>
  <c r="G67" i="6"/>
  <c r="G69" i="6"/>
  <c r="H67" i="6"/>
  <c r="C78" i="6" s="1"/>
  <c r="H68" i="6"/>
  <c r="C79" i="6" s="1"/>
  <c r="D70" i="6"/>
  <c r="D69" i="6"/>
  <c r="H69" i="6" s="1"/>
  <c r="C80" i="6" s="1"/>
  <c r="H66" i="6"/>
  <c r="C77" i="6" s="1"/>
  <c r="F77" i="6" s="1"/>
  <c r="G80" i="7"/>
  <c r="G83" i="7"/>
  <c r="G101" i="7" s="1"/>
  <c r="G81" i="7"/>
  <c r="G99" i="7" s="1"/>
  <c r="G84" i="7"/>
  <c r="G102" i="7" s="1"/>
  <c r="B110" i="7" s="1"/>
  <c r="B118" i="7" s="1"/>
  <c r="F118" i="7" s="1"/>
  <c r="G82" i="7"/>
  <c r="G100" i="7" s="1"/>
  <c r="F70" i="6"/>
  <c r="F67" i="6"/>
  <c r="F68" i="6"/>
  <c r="F69" i="6"/>
  <c r="E76" i="6"/>
  <c r="F76" i="6" l="1"/>
  <c r="G98" i="7"/>
  <c r="E63" i="7"/>
  <c r="E79" i="6"/>
  <c r="F79" i="6" s="1"/>
  <c r="E78" i="6"/>
  <c r="F78" i="6" s="1"/>
  <c r="E81" i="6"/>
  <c r="F81" i="6" s="1"/>
  <c r="E80" i="6"/>
  <c r="F80" i="6" s="1"/>
  <c r="K12" i="5"/>
  <c r="K13" i="5"/>
  <c r="K14" i="5"/>
  <c r="K15" i="5"/>
  <c r="K16" i="5"/>
  <c r="L16" i="5" s="1"/>
  <c r="P13" i="5" s="1"/>
  <c r="E29" i="5" s="1"/>
  <c r="K11" i="5"/>
  <c r="F84" i="7" l="1"/>
  <c r="F102" i="7" s="1"/>
  <c r="B109" i="7" s="1"/>
  <c r="B117" i="7" s="1"/>
  <c r="F117" i="7" s="1"/>
  <c r="F83" i="7"/>
  <c r="F101" i="7" s="1"/>
  <c r="F82" i="7"/>
  <c r="F100" i="7" s="1"/>
  <c r="F81" i="7"/>
  <c r="D62" i="7"/>
  <c r="L11" i="5"/>
  <c r="M11" i="5" s="1"/>
  <c r="L15" i="5"/>
  <c r="N14" i="5" s="1"/>
  <c r="C30" i="5" s="1"/>
  <c r="R11" i="5"/>
  <c r="G27" i="5" s="1"/>
  <c r="M16" i="5"/>
  <c r="B32" i="5" s="1"/>
  <c r="B43" i="5" s="1"/>
  <c r="B63" i="5" s="1"/>
  <c r="Q12" i="5"/>
  <c r="F28" i="5" s="1"/>
  <c r="N15" i="5"/>
  <c r="C31" i="5" s="1"/>
  <c r="O14" i="5"/>
  <c r="D30" i="5" s="1"/>
  <c r="L14" i="5"/>
  <c r="O12" i="5" s="1"/>
  <c r="D28" i="5" s="1"/>
  <c r="L12" i="5"/>
  <c r="N11" i="5" s="1"/>
  <c r="C27" i="5" s="1"/>
  <c r="L13" i="5"/>
  <c r="N12" i="5" s="1"/>
  <c r="C28" i="5" s="1"/>
  <c r="D59" i="4"/>
  <c r="F59" i="4" s="1"/>
  <c r="B27" i="4"/>
  <c r="C64" i="4" s="1"/>
  <c r="C26" i="4"/>
  <c r="C63" i="4" s="1"/>
  <c r="B26" i="4"/>
  <c r="D25" i="4"/>
  <c r="C62" i="4" s="1"/>
  <c r="C25" i="4"/>
  <c r="B25" i="4"/>
  <c r="E24" i="4"/>
  <c r="C61" i="4" s="1"/>
  <c r="D24" i="4"/>
  <c r="C24" i="4"/>
  <c r="B24" i="4"/>
  <c r="F23" i="4"/>
  <c r="C60" i="4" s="1"/>
  <c r="E23" i="4"/>
  <c r="D23" i="4"/>
  <c r="C23" i="4"/>
  <c r="B23" i="4"/>
  <c r="G22" i="4"/>
  <c r="F22" i="4"/>
  <c r="E22" i="4"/>
  <c r="B34" i="4"/>
  <c r="D22" i="4"/>
  <c r="B35" i="4" s="1"/>
  <c r="C22" i="4"/>
  <c r="B22" i="4"/>
  <c r="C26" i="3"/>
  <c r="C54" i="3" s="1"/>
  <c r="C25" i="3"/>
  <c r="C53" i="3" s="1"/>
  <c r="D25" i="3"/>
  <c r="D53" i="3" s="1"/>
  <c r="C24" i="3"/>
  <c r="C52" i="3" s="1"/>
  <c r="D24" i="3"/>
  <c r="D52" i="3" s="1"/>
  <c r="E24" i="3"/>
  <c r="E52" i="3" s="1"/>
  <c r="C23" i="3"/>
  <c r="C51" i="3" s="1"/>
  <c r="D23" i="3"/>
  <c r="D51" i="3" s="1"/>
  <c r="E23" i="3"/>
  <c r="E51" i="3" s="1"/>
  <c r="F23" i="3"/>
  <c r="F51" i="3" s="1"/>
  <c r="C22" i="3"/>
  <c r="C50" i="3" s="1"/>
  <c r="D22" i="3"/>
  <c r="D50" i="3" s="1"/>
  <c r="E22" i="3"/>
  <c r="F22" i="3"/>
  <c r="F50" i="3" s="1"/>
  <c r="G22" i="3"/>
  <c r="B23" i="3"/>
  <c r="B51" i="3" s="1"/>
  <c r="B80" i="3" s="1"/>
  <c r="B99" i="3" s="1"/>
  <c r="B24" i="3"/>
  <c r="B52" i="3" s="1"/>
  <c r="B81" i="3" s="1"/>
  <c r="B100" i="3" s="1"/>
  <c r="B25" i="3"/>
  <c r="B53" i="3" s="1"/>
  <c r="B82" i="3" s="1"/>
  <c r="B101" i="3" s="1"/>
  <c r="B26" i="3"/>
  <c r="B54" i="3" s="1"/>
  <c r="B83" i="3" s="1"/>
  <c r="B102" i="3" s="1"/>
  <c r="B27" i="3"/>
  <c r="B55" i="3" s="1"/>
  <c r="B84" i="3" s="1"/>
  <c r="B103" i="3" s="1"/>
  <c r="B22" i="3"/>
  <c r="B50" i="3" s="1"/>
  <c r="B79" i="3" s="1"/>
  <c r="B98" i="3" s="1"/>
  <c r="E62" i="7" l="1"/>
  <c r="C59" i="4"/>
  <c r="B32" i="4"/>
  <c r="F99" i="7"/>
  <c r="B33" i="4"/>
  <c r="C34" i="4" s="1"/>
  <c r="D34" i="4" s="1"/>
  <c r="D62" i="4" s="1"/>
  <c r="F62" i="4" s="1"/>
  <c r="B32" i="3"/>
  <c r="G51" i="3" s="1"/>
  <c r="G80" i="3" s="1"/>
  <c r="G99" i="3" s="1"/>
  <c r="B36" i="4"/>
  <c r="B36" i="3"/>
  <c r="O13" i="5"/>
  <c r="D29" i="5" s="1"/>
  <c r="N13" i="5"/>
  <c r="C29" i="5" s="1"/>
  <c r="Q11" i="5"/>
  <c r="F27" i="5" s="1"/>
  <c r="B27" i="5"/>
  <c r="B38" i="5" s="1"/>
  <c r="B58" i="5" s="1"/>
  <c r="B69" i="5" s="1"/>
  <c r="B88" i="5" s="1"/>
  <c r="O11" i="5"/>
  <c r="D27" i="5" s="1"/>
  <c r="M14" i="5"/>
  <c r="B30" i="5" s="1"/>
  <c r="C41" i="5" s="1"/>
  <c r="C61" i="5" s="1"/>
  <c r="P12" i="5"/>
  <c r="E28" i="5" s="1"/>
  <c r="M15" i="5"/>
  <c r="B31" i="5" s="1"/>
  <c r="C42" i="5" s="1"/>
  <c r="C62" i="5" s="1"/>
  <c r="M12" i="5"/>
  <c r="B28" i="5" s="1"/>
  <c r="B34" i="3"/>
  <c r="E80" i="3"/>
  <c r="E99" i="3" s="1"/>
  <c r="C80" i="3"/>
  <c r="C99" i="3" s="1"/>
  <c r="D81" i="3"/>
  <c r="D100" i="3" s="1"/>
  <c r="D82" i="3"/>
  <c r="D101" i="3" s="1"/>
  <c r="B74" i="5"/>
  <c r="B93" i="5" s="1"/>
  <c r="M13" i="5"/>
  <c r="B29" i="5" s="1"/>
  <c r="P11" i="5"/>
  <c r="E27" i="5" s="1"/>
  <c r="B39" i="5"/>
  <c r="B59" i="5" s="1"/>
  <c r="B70" i="5" s="1"/>
  <c r="B89" i="5" s="1"/>
  <c r="C32" i="4"/>
  <c r="D32" i="4" s="1"/>
  <c r="D60" i="4" s="1"/>
  <c r="C36" i="4"/>
  <c r="D36" i="4" s="1"/>
  <c r="D64" i="4" s="1"/>
  <c r="F64" i="4" s="1"/>
  <c r="C65" i="4"/>
  <c r="E59" i="4"/>
  <c r="F80" i="3"/>
  <c r="F99" i="3" s="1"/>
  <c r="D80" i="3"/>
  <c r="D99" i="3" s="1"/>
  <c r="C79" i="3"/>
  <c r="C98" i="3" s="1"/>
  <c r="C83" i="3"/>
  <c r="C102" i="3" s="1"/>
  <c r="B35" i="3"/>
  <c r="D54" i="3" s="1"/>
  <c r="E64" i="3"/>
  <c r="G50" i="3"/>
  <c r="G79" i="3" s="1"/>
  <c r="G98" i="3" s="1"/>
  <c r="D79" i="3"/>
  <c r="D98" i="3" s="1"/>
  <c r="E81" i="3"/>
  <c r="E100" i="3" s="1"/>
  <c r="C81" i="3"/>
  <c r="C100" i="3" s="1"/>
  <c r="C82" i="3"/>
  <c r="C101" i="3" s="1"/>
  <c r="C32" i="3"/>
  <c r="D32" i="3" s="1"/>
  <c r="E53" i="3"/>
  <c r="E82" i="3" s="1"/>
  <c r="E101" i="3" s="1"/>
  <c r="C55" i="3"/>
  <c r="E50" i="3"/>
  <c r="E79" i="3" s="1"/>
  <c r="E98" i="3" s="1"/>
  <c r="B33" i="3"/>
  <c r="E82" i="7" l="1"/>
  <c r="E83" i="7"/>
  <c r="E101" i="7" s="1"/>
  <c r="E84" i="7"/>
  <c r="E102" i="7" s="1"/>
  <c r="B108" i="7" s="1"/>
  <c r="B116" i="7" s="1"/>
  <c r="F116" i="7" s="1"/>
  <c r="D61" i="7"/>
  <c r="C35" i="4"/>
  <c r="D35" i="4" s="1"/>
  <c r="D63" i="4" s="1"/>
  <c r="C33" i="4"/>
  <c r="D33" i="4" s="1"/>
  <c r="D61" i="4" s="1"/>
  <c r="E61" i="4" s="1"/>
  <c r="C35" i="3"/>
  <c r="D35" i="3" s="1"/>
  <c r="F39" i="5"/>
  <c r="F59" i="5" s="1"/>
  <c r="B41" i="5"/>
  <c r="B61" i="5" s="1"/>
  <c r="B72" i="5" s="1"/>
  <c r="B91" i="5" s="1"/>
  <c r="E40" i="5"/>
  <c r="E60" i="5" s="1"/>
  <c r="C40" i="5"/>
  <c r="C60" i="5" s="1"/>
  <c r="F38" i="5"/>
  <c r="F58" i="5" s="1"/>
  <c r="C38" i="5"/>
  <c r="C58" i="5" s="1"/>
  <c r="C69" i="5" s="1"/>
  <c r="C88" i="5" s="1"/>
  <c r="D38" i="5"/>
  <c r="D58" i="5" s="1"/>
  <c r="B42" i="5"/>
  <c r="B62" i="5" s="1"/>
  <c r="B73" i="5" s="1"/>
  <c r="B92" i="5" s="1"/>
  <c r="G38" i="5"/>
  <c r="G58" i="5" s="1"/>
  <c r="D41" i="5"/>
  <c r="D61" i="5" s="1"/>
  <c r="D39" i="5"/>
  <c r="D59" i="5" s="1"/>
  <c r="C39" i="5"/>
  <c r="C59" i="5" s="1"/>
  <c r="D40" i="5"/>
  <c r="D60" i="5" s="1"/>
  <c r="E71" i="5" s="1"/>
  <c r="E90" i="5" s="1"/>
  <c r="E39" i="5"/>
  <c r="E59" i="5" s="1"/>
  <c r="F70" i="5" s="1"/>
  <c r="F89" i="5" s="1"/>
  <c r="B40" i="5"/>
  <c r="B60" i="5" s="1"/>
  <c r="B71" i="5" s="1"/>
  <c r="B90" i="5" s="1"/>
  <c r="F82" i="6"/>
  <c r="F94" i="6" s="1"/>
  <c r="E38" i="5"/>
  <c r="E58" i="5" s="1"/>
  <c r="C73" i="5"/>
  <c r="C92" i="5" s="1"/>
  <c r="C70" i="5"/>
  <c r="C89" i="5" s="1"/>
  <c r="E73" i="4"/>
  <c r="E62" i="4"/>
  <c r="F60" i="4"/>
  <c r="E60" i="4"/>
  <c r="E64" i="4"/>
  <c r="F63" i="4"/>
  <c r="E63" i="4"/>
  <c r="D83" i="3"/>
  <c r="D102" i="3" s="1"/>
  <c r="E54" i="3"/>
  <c r="E83" i="3" s="1"/>
  <c r="E102" i="3" s="1"/>
  <c r="F79" i="3"/>
  <c r="F98" i="3" s="1"/>
  <c r="D55" i="3"/>
  <c r="C84" i="3"/>
  <c r="C103" i="3" s="1"/>
  <c r="F53" i="3"/>
  <c r="C33" i="3"/>
  <c r="D33" i="3" s="1"/>
  <c r="C34" i="3"/>
  <c r="D34" i="3" s="1"/>
  <c r="F52" i="3"/>
  <c r="C36" i="3"/>
  <c r="D36" i="3" s="1"/>
  <c r="E61" i="7" l="1"/>
  <c r="E100" i="7"/>
  <c r="D72" i="5"/>
  <c r="D91" i="5" s="1"/>
  <c r="D71" i="5"/>
  <c r="D90" i="5" s="1"/>
  <c r="B49" i="5"/>
  <c r="F60" i="5" s="1"/>
  <c r="C72" i="5"/>
  <c r="C91" i="5" s="1"/>
  <c r="D69" i="5"/>
  <c r="D88" i="5" s="1"/>
  <c r="E70" i="5"/>
  <c r="E89" i="5" s="1"/>
  <c r="E69" i="5"/>
  <c r="E88" i="5" s="1"/>
  <c r="D70" i="5"/>
  <c r="D89" i="5" s="1"/>
  <c r="C71" i="5"/>
  <c r="C90" i="5" s="1"/>
  <c r="B51" i="5"/>
  <c r="B48" i="5"/>
  <c r="G69" i="5"/>
  <c r="G88" i="5" s="1"/>
  <c r="B52" i="5"/>
  <c r="C63" i="5" s="1"/>
  <c r="B50" i="5"/>
  <c r="E61" i="5" s="1"/>
  <c r="F69" i="5"/>
  <c r="F88" i="5" s="1"/>
  <c r="F65" i="4"/>
  <c r="F68" i="4" s="1"/>
  <c r="G52" i="3"/>
  <c r="F81" i="3"/>
  <c r="F100" i="3" s="1"/>
  <c r="B107" i="3" s="1"/>
  <c r="E55" i="3"/>
  <c r="D84" i="3"/>
  <c r="D103" i="3" s="1"/>
  <c r="F54" i="3"/>
  <c r="G53" i="3"/>
  <c r="G82" i="3" s="1"/>
  <c r="G101" i="3" s="1"/>
  <c r="F82" i="3"/>
  <c r="F101" i="3" s="1"/>
  <c r="G59" i="4" l="1"/>
  <c r="G60" i="4"/>
  <c r="G61" i="4"/>
  <c r="D83" i="7"/>
  <c r="D84" i="7"/>
  <c r="D102" i="7" s="1"/>
  <c r="B107" i="7" s="1"/>
  <c r="B115" i="7" s="1"/>
  <c r="F115" i="7" s="1"/>
  <c r="D60" i="7"/>
  <c r="E72" i="5"/>
  <c r="F61" i="5"/>
  <c r="G60" i="5"/>
  <c r="G71" i="5" s="1"/>
  <c r="G90" i="5" s="1"/>
  <c r="F71" i="5"/>
  <c r="F90" i="5" s="1"/>
  <c r="D62" i="5"/>
  <c r="D63" i="5"/>
  <c r="E63" i="5" s="1"/>
  <c r="F63" i="5" s="1"/>
  <c r="G63" i="5" s="1"/>
  <c r="C74" i="5"/>
  <c r="C93" i="5" s="1"/>
  <c r="C49" i="5"/>
  <c r="D49" i="5" s="1"/>
  <c r="G59" i="5"/>
  <c r="G70" i="5" s="1"/>
  <c r="C48" i="5"/>
  <c r="D48" i="5" s="1"/>
  <c r="G89" i="5"/>
  <c r="C51" i="5"/>
  <c r="D51" i="5" s="1"/>
  <c r="E91" i="5"/>
  <c r="C52" i="5"/>
  <c r="D52" i="5" s="1"/>
  <c r="C50" i="5"/>
  <c r="D50" i="5" s="1"/>
  <c r="G63" i="4"/>
  <c r="G64" i="4"/>
  <c r="G62" i="4"/>
  <c r="G54" i="3"/>
  <c r="G83" i="3" s="1"/>
  <c r="G102" i="3" s="1"/>
  <c r="F83" i="3"/>
  <c r="F102" i="3" s="1"/>
  <c r="E84" i="3"/>
  <c r="E103" i="3" s="1"/>
  <c r="F55" i="3"/>
  <c r="G81" i="3"/>
  <c r="G100" i="3" s="1"/>
  <c r="B108" i="3" s="1"/>
  <c r="E60" i="7" l="1"/>
  <c r="D101" i="7"/>
  <c r="E62" i="5"/>
  <c r="D73" i="5"/>
  <c r="D92" i="5" s="1"/>
  <c r="B97" i="5" s="1"/>
  <c r="B105" i="5" s="1"/>
  <c r="F105" i="5" s="1"/>
  <c r="F72" i="5"/>
  <c r="F91" i="5" s="1"/>
  <c r="G61" i="5"/>
  <c r="G72" i="5" s="1"/>
  <c r="G91" i="5" s="1"/>
  <c r="G65" i="4"/>
  <c r="F77" i="4" s="1"/>
  <c r="B109" i="3"/>
  <c r="G55" i="3"/>
  <c r="F84" i="3"/>
  <c r="F103" i="3" s="1"/>
  <c r="B110" i="3" s="1"/>
  <c r="C84" i="7" l="1"/>
  <c r="D59" i="7"/>
  <c r="E59" i="7" s="1"/>
  <c r="F62" i="5"/>
  <c r="E73" i="5"/>
  <c r="E92" i="5" s="1"/>
  <c r="D74" i="5"/>
  <c r="D93" i="5" s="1"/>
  <c r="G84" i="3"/>
  <c r="G56" i="3"/>
  <c r="F70" i="3" s="1"/>
  <c r="C102" i="7" l="1"/>
  <c r="B106" i="7" s="1"/>
  <c r="B114" i="7" s="1"/>
  <c r="F114" i="7" s="1"/>
  <c r="F119" i="7" s="1"/>
  <c r="G87" i="7"/>
  <c r="B98" i="5"/>
  <c r="B106" i="5" s="1"/>
  <c r="F106" i="5" s="1"/>
  <c r="G62" i="5"/>
  <c r="G73" i="5" s="1"/>
  <c r="G92" i="5" s="1"/>
  <c r="F73" i="5"/>
  <c r="F92" i="5" s="1"/>
  <c r="E74" i="5"/>
  <c r="E93" i="5" s="1"/>
  <c r="B99" i="5" s="1"/>
  <c r="B107" i="5" s="1"/>
  <c r="F107" i="5" s="1"/>
  <c r="G85" i="3"/>
  <c r="H120" i="5" s="1"/>
  <c r="G103" i="3"/>
  <c r="B111" i="3" s="1"/>
  <c r="G74" i="5" l="1"/>
  <c r="G93" i="5" s="1"/>
  <c r="B101" i="5" s="1"/>
  <c r="B109" i="5" s="1"/>
  <c r="F109" i="5" s="1"/>
  <c r="F74" i="5"/>
  <c r="F93" i="5" l="1"/>
  <c r="B100" i="5" s="1"/>
  <c r="B108" i="5" s="1"/>
  <c r="F108" i="5" s="1"/>
  <c r="F110" i="5" s="1"/>
  <c r="H122" i="5" s="1"/>
  <c r="G75" i="5"/>
  <c r="H121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nekumulativny_trojuholnik" type="6" refreshedVersion="4" deleted="1" background="1" saveData="1">
    <textPr codePage="852" sourceFile="D:\data\nekumulativny_trojuholnik.txt" decimal="," thousands=" " tab="0" space="1" consecutive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<sst xmlns="http://schemas.openxmlformats.org/spreadsheetml/2006/main" count="208" uniqueCount="94">
  <si>
    <t>(Zdroj: Cipra, T. Riziko ve financích a pojisťovnictví: Basel III a Solvency II. Ekopress, s. r. o., Praha, 2015. Prvé vydanie. ISBN 978-80-87865-24-8. Str. 397-404.)</t>
  </si>
  <si>
    <t>rok vzniku</t>
  </si>
  <si>
    <t>rok vývoja</t>
  </si>
  <si>
    <r>
      <t>(A)  Reťazovo-rebríková metóda (</t>
    </r>
    <r>
      <rPr>
        <b/>
        <i/>
        <sz val="12"/>
        <rFont val="Arial CE"/>
        <charset val="238"/>
      </rPr>
      <t>Chain-Ladder Method</t>
    </r>
    <r>
      <rPr>
        <b/>
        <sz val="12"/>
        <rFont val="Arial CE"/>
        <charset val="238"/>
      </rPr>
      <t>)</t>
    </r>
  </si>
  <si>
    <t>Kumulatívny vývojový trojuholník, hodnoty sú uvedené v miliónoch eur</t>
  </si>
  <si>
    <t>Tabuľka vývojových, kumulatívny a inverzných koeficientov</t>
  </si>
  <si>
    <t>Vývojové koeficienty</t>
  </si>
  <si>
    <t>Kumulatívne koeficienty</t>
  </si>
  <si>
    <t>Inverzné koeficienty</t>
  </si>
  <si>
    <t>Celkovo</t>
  </si>
  <si>
    <t>Zaslúžené poistné</t>
  </si>
  <si>
    <t>[1]</t>
  </si>
  <si>
    <t>[3]</t>
  </si>
  <si>
    <t>Minulé poistné plnenia</t>
  </si>
  <si>
    <t>[2]</t>
  </si>
  <si>
    <t>[4] = 1 - [3]</t>
  </si>
  <si>
    <t>Doplnok k inverzným koeficientom</t>
  </si>
  <si>
    <t>[5] = [1] x [3]</t>
  </si>
  <si>
    <t>Odhadnutá rezerva</t>
  </si>
  <si>
    <t>Alikvótna časť zaslúženého poistného</t>
  </si>
  <si>
    <t>Gábor Szűcs, FMFI UK, Gabor.Szucs@fmph.uniba.sk</t>
  </si>
  <si>
    <t>[6] = 0,996x[1]x[4]</t>
  </si>
  <si>
    <t>Nekumulatívny vývojový trojuholník, doplnený o odhadnuté hodnoty
(hodnoty sú uvedené v miliónoch eur)</t>
  </si>
  <si>
    <t xml:space="preserve">Suma odhadnutých hodnôt v dolnom trojuholníku = </t>
  </si>
  <si>
    <r>
      <t>(B)  Reťazovo-rebríková metóda s infláciou
(</t>
    </r>
    <r>
      <rPr>
        <b/>
        <i/>
        <sz val="12"/>
        <rFont val="Arial CE"/>
        <charset val="238"/>
      </rPr>
      <t>Inflation Adjusted Chain-Ladder Method</t>
    </r>
    <r>
      <rPr>
        <b/>
        <sz val="12"/>
        <rFont val="Arial CE"/>
        <charset val="238"/>
      </rPr>
      <t>)</t>
    </r>
  </si>
  <si>
    <t>Nekumulatívny vývojový trojuholník (hodnoty sú uvedené v miliónoch eur)</t>
  </si>
  <si>
    <t>Kumulatívny vývojový trojuholník (hodnoty sú uvedené v miliónoch eur)</t>
  </si>
  <si>
    <t>Doplnený kumulatívny vývojový trojuholník (hodnoty sú uvedené v miliónoch eur)</t>
  </si>
  <si>
    <t>Nekumulatívny vývojový trojuholník s upravenými hodnotami o infláciu
(hodnoty sú uvedené v miliónoch eur)</t>
  </si>
  <si>
    <t>rok</t>
  </si>
  <si>
    <t>miera inflácie</t>
  </si>
  <si>
    <t>inflačný faktor</t>
  </si>
  <si>
    <t>kumulatívny inflačný faktor (do roku 2015)</t>
  </si>
  <si>
    <t>Kumulatívny vývojový trojuholník s upravenými hodnotami o infláciu
(hodnoty sú uvedené v miliónoch eur)</t>
  </si>
  <si>
    <t>kumulatívne inflačné faktory (pomocné hodnoty)</t>
  </si>
  <si>
    <t>(zdroj: Štatistický úrad Slovenskej republiky)</t>
  </si>
  <si>
    <t xml:space="preserve">Suma prvkov posledného stĺpca = </t>
  </si>
  <si>
    <t>Odhad rezervy pomocou Bornhütterovej-Fergusonovej metódy</t>
  </si>
  <si>
    <t>Nekumulatívny škodový priebeh na jednotku zaslúženého poistného</t>
  </si>
  <si>
    <r>
      <t>(D)  Bornhütterova-Fergusonova metóda (</t>
    </r>
    <r>
      <rPr>
        <b/>
        <i/>
        <sz val="12"/>
        <rFont val="Arial CE"/>
        <charset val="238"/>
      </rPr>
      <t>Bornhütter-Ferguson Method</t>
    </r>
    <r>
      <rPr>
        <b/>
        <sz val="12"/>
        <rFont val="Arial CE"/>
        <charset val="238"/>
      </rPr>
      <t>)</t>
    </r>
  </si>
  <si>
    <t>Znázornenie výšky očakávaných poistných plnení v jednotlivých rokoch pomocou nekumulatívného vývojového trojuholníka (hodnoty sú uvedené v miliónoch eur)</t>
  </si>
  <si>
    <t>očakávaná výška poistných plnení</t>
  </si>
  <si>
    <t>technická úroková miera</t>
  </si>
  <si>
    <t>časové obdobie od konca roku 2015</t>
  </si>
  <si>
    <t>diskontný faktor</t>
  </si>
  <si>
    <t>očakávaná výška poistných plnení po diskontovaní</t>
  </si>
  <si>
    <t>Odhad rezervy pomocou základnej reťazovo-rebríkovej metódy (bez inflácie, bez diskontovania)</t>
  </si>
  <si>
    <t>ZHRNUTIE (hodnoty sú uvedené v miliónoch eur)</t>
  </si>
  <si>
    <t>Odhad rezervy pomocou základnej reťazovo-rebríkovej metódy (s infláciou, bez diskontovania)</t>
  </si>
  <si>
    <t>Odhad rezervy pomocou základnej reťazovo-rebríkovej metódy (s infláciou, s diskontovaním)</t>
  </si>
  <si>
    <t>Výber podkladových hodnôt z nekumulatívneho horného trojuholníka škodového priebehu pre odhadovanie hodnôt v dolnom trojuholníku</t>
  </si>
  <si>
    <t>Nekumulatívny škodový priebeh na jednotku zaslúženého poistného, doplnený o odhadnuté hodnoty v dolnom trojuholníku (odhady počítame ako aritmetický priemer z vybraných hodnôt v danom stĺpci)</t>
  </si>
  <si>
    <t>celkovo</t>
  </si>
  <si>
    <t>Celkový škodový priebeh</t>
  </si>
  <si>
    <t>Tabuľka zaslúženého poistného, resp. vývojových, kumulatívny a inverzných koeficientov</t>
  </si>
  <si>
    <t>Celkovo =</t>
  </si>
  <si>
    <r>
      <t>(E)  Separačná metóda (</t>
    </r>
    <r>
      <rPr>
        <b/>
        <i/>
        <sz val="12"/>
        <rFont val="Arial CE"/>
        <charset val="238"/>
      </rPr>
      <t>Separation Method</t>
    </r>
    <r>
      <rPr>
        <b/>
        <sz val="12"/>
        <rFont val="Arial CE"/>
        <charset val="238"/>
      </rPr>
      <t>)</t>
    </r>
  </si>
  <si>
    <t>[5]=[1]x[2]x[4]</t>
  </si>
  <si>
    <t>Miera inflácie na Slovensku v rokoch 2010 až 2015 a "predikcie" miery inflácie pre roky 2016 až 2020</t>
  </si>
  <si>
    <t>priemerná výška škody (v miliónoch eur)</t>
  </si>
  <si>
    <t>priemerná výška škody (v eurách)</t>
  </si>
  <si>
    <t>Nekumulatívny vývojový trojuholník s výškami poistných plnení na jednu škodovú udalosť (hodnoty sú uvedené v miliónoch eur)</t>
  </si>
  <si>
    <t>Tabuľka s počtami škodových udalostí</t>
  </si>
  <si>
    <t>odhad faktoru vonkajšieho vplyvu</t>
  </si>
  <si>
    <r>
      <rPr>
        <i/>
        <sz val="10"/>
        <rFont val="Calibri"/>
        <family val="2"/>
        <charset val="238"/>
      </rPr>
      <t>λ</t>
    </r>
    <r>
      <rPr>
        <i/>
        <vertAlign val="subscript"/>
        <sz val="12"/>
        <rFont val="Arial CE"/>
        <charset val="238"/>
      </rPr>
      <t>i</t>
    </r>
  </si>
  <si>
    <r>
      <t xml:space="preserve">odhad pomernej časti plnení platených v </t>
    </r>
    <r>
      <rPr>
        <i/>
        <sz val="10"/>
        <rFont val="Arial CE"/>
        <charset val="238"/>
      </rPr>
      <t>j</t>
    </r>
    <r>
      <rPr>
        <sz val="10"/>
        <rFont val="Arial CE"/>
        <charset val="238"/>
      </rPr>
      <t>-tom roku rozvoja</t>
    </r>
  </si>
  <si>
    <r>
      <rPr>
        <i/>
        <sz val="10"/>
        <rFont val="Arial CE"/>
        <charset val="238"/>
      </rPr>
      <t>r</t>
    </r>
    <r>
      <rPr>
        <i/>
        <vertAlign val="subscript"/>
        <sz val="10"/>
        <rFont val="Arial CE"/>
        <charset val="238"/>
      </rPr>
      <t>j</t>
    </r>
  </si>
  <si>
    <t>poradové číslo roku vzniku,
poradové číslo roku rozvoja</t>
  </si>
  <si>
    <r>
      <t>i</t>
    </r>
    <r>
      <rPr>
        <sz val="10"/>
        <rFont val="Arial CE"/>
        <charset val="238"/>
      </rPr>
      <t xml:space="preserve">, </t>
    </r>
    <r>
      <rPr>
        <i/>
        <sz val="10"/>
        <rFont val="Arial CE"/>
        <charset val="238"/>
      </rPr>
      <t>j</t>
    </r>
  </si>
  <si>
    <t>diagonálne súčty výšok poistných plnení na jednu udalosť</t>
  </si>
  <si>
    <r>
      <t>d</t>
    </r>
    <r>
      <rPr>
        <i/>
        <vertAlign val="subscript"/>
        <sz val="10"/>
        <rFont val="Arial CE"/>
        <charset val="238"/>
      </rPr>
      <t>j</t>
    </r>
  </si>
  <si>
    <t>odhad budúcich faktorov</t>
  </si>
  <si>
    <t>Odhad pomocných veličín pri separačnej metóde</t>
  </si>
  <si>
    <t>Nekumulatívna vývojová schéma doplnená o odhadnuté hodnoty v dolnom trojuholníku
(hodnoty sú uvedené v miliónoch eur)</t>
  </si>
  <si>
    <r>
      <t>počet škodových udalostí (</t>
    </r>
    <r>
      <rPr>
        <i/>
        <sz val="10"/>
        <rFont val="Arial CE"/>
        <charset val="238"/>
      </rPr>
      <t>m</t>
    </r>
    <r>
      <rPr>
        <i/>
        <vertAlign val="subscript"/>
        <sz val="10"/>
        <rFont val="Arial CE"/>
        <charset val="238"/>
      </rPr>
      <t>i</t>
    </r>
    <r>
      <rPr>
        <sz val="10"/>
        <rFont val="Arial CE"/>
        <charset val="238"/>
      </rPr>
      <t>)</t>
    </r>
  </si>
  <si>
    <t>poradové číslo roku</t>
  </si>
  <si>
    <r>
      <t>rok vývoja</t>
    </r>
    <r>
      <rPr>
        <sz val="10"/>
        <rFont val="Arial CE"/>
        <charset val="238"/>
      </rPr>
      <t xml:space="preserve"> (</t>
    </r>
    <r>
      <rPr>
        <i/>
        <sz val="10"/>
        <rFont val="Arial CE"/>
        <charset val="238"/>
      </rPr>
      <t>j</t>
    </r>
    <r>
      <rPr>
        <sz val="10"/>
        <rFont val="Arial CE"/>
        <charset val="238"/>
      </rPr>
      <t>)</t>
    </r>
  </si>
  <si>
    <r>
      <t>2010</t>
    </r>
    <r>
      <rPr>
        <sz val="10"/>
        <rFont val="Arial CE"/>
        <charset val="238"/>
      </rPr>
      <t xml:space="preserve"> (</t>
    </r>
    <r>
      <rPr>
        <i/>
        <sz val="10"/>
        <rFont val="Arial CE"/>
        <charset val="238"/>
      </rPr>
      <t xml:space="preserve">i </t>
    </r>
    <r>
      <rPr>
        <sz val="10"/>
        <rFont val="Arial CE"/>
        <charset val="238"/>
      </rPr>
      <t>= 0)</t>
    </r>
  </si>
  <si>
    <r>
      <t>2011</t>
    </r>
    <r>
      <rPr>
        <sz val="10"/>
        <rFont val="Arial CE"/>
        <charset val="238"/>
      </rPr>
      <t xml:space="preserve"> (</t>
    </r>
    <r>
      <rPr>
        <i/>
        <sz val="10"/>
        <rFont val="Arial CE"/>
        <charset val="238"/>
      </rPr>
      <t xml:space="preserve">i </t>
    </r>
    <r>
      <rPr>
        <sz val="10"/>
        <rFont val="Arial CE"/>
        <charset val="238"/>
      </rPr>
      <t>= 1)</t>
    </r>
  </si>
  <si>
    <r>
      <t>2012</t>
    </r>
    <r>
      <rPr>
        <sz val="10"/>
        <rFont val="Arial CE"/>
        <charset val="238"/>
      </rPr>
      <t xml:space="preserve"> (</t>
    </r>
    <r>
      <rPr>
        <i/>
        <sz val="10"/>
        <rFont val="Arial CE"/>
        <charset val="238"/>
      </rPr>
      <t xml:space="preserve">i </t>
    </r>
    <r>
      <rPr>
        <sz val="10"/>
        <rFont val="Arial CE"/>
        <charset val="238"/>
      </rPr>
      <t>= 2)</t>
    </r>
  </si>
  <si>
    <r>
      <t>2013</t>
    </r>
    <r>
      <rPr>
        <sz val="10"/>
        <rFont val="Arial CE"/>
        <charset val="238"/>
      </rPr>
      <t xml:space="preserve"> (</t>
    </r>
    <r>
      <rPr>
        <i/>
        <sz val="10"/>
        <rFont val="Arial CE"/>
        <charset val="238"/>
      </rPr>
      <t xml:space="preserve">i </t>
    </r>
    <r>
      <rPr>
        <sz val="10"/>
        <rFont val="Arial CE"/>
        <charset val="238"/>
      </rPr>
      <t>= 3)</t>
    </r>
  </si>
  <si>
    <r>
      <t>2014</t>
    </r>
    <r>
      <rPr>
        <sz val="10"/>
        <rFont val="Arial CE"/>
        <charset val="238"/>
      </rPr>
      <t xml:space="preserve"> (</t>
    </r>
    <r>
      <rPr>
        <i/>
        <sz val="10"/>
        <rFont val="Arial CE"/>
        <charset val="238"/>
      </rPr>
      <t xml:space="preserve">i </t>
    </r>
    <r>
      <rPr>
        <sz val="10"/>
        <rFont val="Arial CE"/>
        <charset val="238"/>
      </rPr>
      <t>= 4)</t>
    </r>
  </si>
  <si>
    <r>
      <t>2015</t>
    </r>
    <r>
      <rPr>
        <sz val="10"/>
        <rFont val="Arial CE"/>
        <charset val="238"/>
      </rPr>
      <t xml:space="preserve"> (</t>
    </r>
    <r>
      <rPr>
        <i/>
        <sz val="10"/>
        <rFont val="Arial CE"/>
        <charset val="238"/>
      </rPr>
      <t xml:space="preserve">i </t>
    </r>
    <r>
      <rPr>
        <sz val="10"/>
        <rFont val="Arial CE"/>
        <charset val="238"/>
      </rPr>
      <t>= 5)</t>
    </r>
  </si>
  <si>
    <r>
      <t>i</t>
    </r>
    <r>
      <rPr>
        <sz val="10"/>
        <rFont val="Arial CE"/>
        <charset val="238"/>
      </rPr>
      <t xml:space="preserve"> + </t>
    </r>
    <r>
      <rPr>
        <i/>
        <sz val="10"/>
        <rFont val="Arial CE"/>
        <charset val="238"/>
      </rPr>
      <t>j</t>
    </r>
  </si>
  <si>
    <r>
      <rPr>
        <i/>
        <sz val="10"/>
        <rFont val="Calibri"/>
        <family val="2"/>
        <charset val="238"/>
      </rPr>
      <t>λ</t>
    </r>
    <r>
      <rPr>
        <i/>
        <vertAlign val="subscript"/>
        <sz val="12"/>
        <rFont val="Arial CE"/>
        <charset val="238"/>
      </rPr>
      <t>i</t>
    </r>
    <r>
      <rPr>
        <vertAlign val="subscript"/>
        <sz val="12"/>
        <rFont val="Arial CE"/>
        <charset val="238"/>
      </rPr>
      <t>+</t>
    </r>
    <r>
      <rPr>
        <i/>
        <vertAlign val="subscript"/>
        <sz val="12"/>
        <rFont val="Arial CE"/>
        <charset val="238"/>
      </rPr>
      <t>j</t>
    </r>
  </si>
  <si>
    <t>Doplnený kumulatívny vývojový trojuholník
(hodnoty sú uvedené v miliónoch eur)</t>
  </si>
  <si>
    <t>Nekumulatívny vývojový trojuholník s hodnotami upravenými o infláciu, doplnený o odhadnuté hodnoty
(hodnoty sú uvedené v miliónoch eur)</t>
  </si>
  <si>
    <r>
      <t>(C)  Metóda Cape Cod (</t>
    </r>
    <r>
      <rPr>
        <b/>
        <i/>
        <sz val="12"/>
        <rFont val="Arial CE"/>
        <charset val="238"/>
      </rPr>
      <t>Cape Cod Method</t>
    </r>
    <r>
      <rPr>
        <b/>
        <sz val="12"/>
        <rFont val="Arial CE"/>
        <charset val="238"/>
      </rPr>
      <t>)</t>
    </r>
  </si>
  <si>
    <t>Odhad rezervy pomocou metódy Cape Cod</t>
  </si>
  <si>
    <t>Habil - K09 - Rezervy v NŽP - Úloha 9.1 (A)</t>
  </si>
  <si>
    <t>Habil - K09 - Rezervy v NŽP - Úloha 9.1 (B)</t>
  </si>
  <si>
    <t>Habil - K09 - Rezervy v NŽP - Úloha 9.1 (C)</t>
  </si>
  <si>
    <t>Habil - K09 - Rezervy v NŽP - Úloha 9.1 (D)</t>
  </si>
  <si>
    <t>Habil - K09 - Rezervy v NŽP - Úloha 9.1 (E)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</si>
</sst>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0.0000"/>
    <numFmt numFmtId="166" formatCode="0.00000"/>
    <numFmt numFmtId="167" formatCode="0.0%"/>
    <numFmt numFmtId="168" formatCode="0.000000"/>
    <numFmt numFmtId="169" formatCode="0.00000000"/>
    <numFmt numFmtId="170" formatCode="#,##0.00\ &quot;€&quot;"/>
    <numFmt numFmtId="171" formatCode="0.000000000"/>
  </numFmts>
  <fonts count="28" x14ac:knownFonts="1">
    <font>
      <sz val="10"/>
      <name val="Arial CE"/>
      <charset val="238"/>
    </font>
    <font>
      <b/>
      <i/>
      <sz val="10"/>
      <name val="Arial CE"/>
      <charset val="238"/>
    </font>
    <font>
      <i/>
      <sz val="10"/>
      <name val="Arial CE"/>
      <charset val="238"/>
    </font>
    <font>
      <b/>
      <sz val="12"/>
      <name val="Arial CE"/>
      <charset val="238"/>
    </font>
    <font>
      <b/>
      <i/>
      <sz val="12"/>
      <name val="Arial CE"/>
      <charset val="238"/>
    </font>
    <font>
      <b/>
      <sz val="10"/>
      <name val="Arial CE"/>
      <charset val="238"/>
    </font>
    <font>
      <sz val="8"/>
      <name val="Arial CE"/>
      <charset val="238"/>
    </font>
    <font>
      <sz val="9"/>
      <color rgb="FF000000"/>
      <name val="Calibri"/>
      <family val="2"/>
      <charset val="238"/>
    </font>
    <font>
      <sz val="10"/>
      <color theme="0" tint="-0.34998626667073579"/>
      <name val="Arial CE"/>
      <charset val="238"/>
    </font>
    <font>
      <sz val="10"/>
      <color rgb="FF00B050"/>
      <name val="Arial CE"/>
      <charset val="238"/>
    </font>
    <font>
      <i/>
      <sz val="10"/>
      <color theme="4"/>
      <name val="Arial CE"/>
      <charset val="238"/>
    </font>
    <font>
      <i/>
      <sz val="10"/>
      <color theme="0"/>
      <name val="Arial CE"/>
      <charset val="238"/>
    </font>
    <font>
      <sz val="10"/>
      <color theme="1" tint="0.499984740745262"/>
      <name val="Arial CE"/>
      <charset val="238"/>
    </font>
    <font>
      <i/>
      <sz val="10"/>
      <color theme="1" tint="0.499984740745262"/>
      <name val="Arial CE"/>
      <charset val="238"/>
    </font>
    <font>
      <sz val="10"/>
      <color theme="5" tint="-0.499984740745262"/>
      <name val="Arial CE"/>
      <charset val="238"/>
    </font>
    <font>
      <b/>
      <sz val="10"/>
      <color theme="0"/>
      <name val="Arial CE"/>
      <charset val="238"/>
    </font>
    <font>
      <sz val="12"/>
      <name val="Arial CE"/>
      <charset val="238"/>
    </font>
    <font>
      <sz val="10"/>
      <color theme="0" tint="-0.499984740745262"/>
      <name val="Arial CE"/>
      <charset val="238"/>
    </font>
    <font>
      <b/>
      <sz val="10"/>
      <color theme="0" tint="-0.499984740745262"/>
      <name val="Arial CE"/>
      <charset val="238"/>
    </font>
    <font>
      <i/>
      <sz val="10"/>
      <color theme="0" tint="-0.499984740745262"/>
      <name val="Arial CE"/>
      <charset val="238"/>
    </font>
    <font>
      <i/>
      <sz val="10"/>
      <color theme="0" tint="-0.34998626667073579"/>
      <name val="Arial CE"/>
      <charset val="238"/>
    </font>
    <font>
      <i/>
      <sz val="10"/>
      <name val="Calibri"/>
      <family val="2"/>
      <charset val="238"/>
    </font>
    <font>
      <i/>
      <vertAlign val="subscript"/>
      <sz val="12"/>
      <name val="Arial CE"/>
      <charset val="238"/>
    </font>
    <font>
      <i/>
      <sz val="10"/>
      <name val="Arial CE"/>
      <family val="2"/>
      <charset val="238"/>
    </font>
    <font>
      <i/>
      <vertAlign val="subscript"/>
      <sz val="10"/>
      <name val="Arial CE"/>
      <charset val="238"/>
    </font>
    <font>
      <b/>
      <sz val="10"/>
      <color rgb="FF00B050"/>
      <name val="Arial CE"/>
      <charset val="238"/>
    </font>
    <font>
      <vertAlign val="subscript"/>
      <sz val="12"/>
      <name val="Arial CE"/>
      <charset val="238"/>
    </font>
    <font>
      <b/>
      <sz val="12"/>
      <color rgb="FF00B050"/>
      <name val="Arial CE"/>
      <charset val="238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7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2" fillId="0" borderId="12" xfId="0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5" fillId="0" borderId="10" xfId="0" applyNumberFormat="1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164" fontId="8" fillId="0" borderId="2" xfId="0" applyNumberFormat="1" applyFont="1" applyBorder="1" applyAlignment="1">
      <alignment horizontal="center"/>
    </xf>
    <xf numFmtId="164" fontId="8" fillId="0" borderId="10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4" fontId="8" fillId="0" borderId="11" xfId="0" applyNumberFormat="1" applyFont="1" applyBorder="1" applyAlignment="1">
      <alignment horizontal="center"/>
    </xf>
    <xf numFmtId="164" fontId="8" fillId="0" borderId="3" xfId="0" applyNumberFormat="1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6" xfId="0" applyBorder="1"/>
    <xf numFmtId="0" fontId="8" fillId="0" borderId="21" xfId="0" applyFont="1" applyBorder="1" applyAlignment="1">
      <alignment horizontal="center" wrapText="1"/>
    </xf>
    <xf numFmtId="0" fontId="8" fillId="0" borderId="22" xfId="0" applyFont="1" applyBorder="1" applyAlignment="1">
      <alignment horizontal="center" wrapText="1"/>
    </xf>
    <xf numFmtId="10" fontId="0" fillId="0" borderId="7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65" fontId="0" fillId="0" borderId="6" xfId="0" applyNumberFormat="1" applyBorder="1" applyAlignment="1">
      <alignment horizontal="right"/>
    </xf>
    <xf numFmtId="0" fontId="12" fillId="0" borderId="0" xfId="0" applyFont="1"/>
    <xf numFmtId="166" fontId="12" fillId="0" borderId="0" xfId="0" applyNumberFormat="1" applyFont="1"/>
    <xf numFmtId="165" fontId="5" fillId="0" borderId="16" xfId="0" applyNumberFormat="1" applyFont="1" applyBorder="1" applyAlignment="1">
      <alignment horizontal="right"/>
    </xf>
    <xf numFmtId="165" fontId="5" fillId="0" borderId="6" xfId="0" applyNumberFormat="1" applyFont="1" applyBorder="1" applyAlignment="1">
      <alignment horizontal="right"/>
    </xf>
    <xf numFmtId="165" fontId="10" fillId="2" borderId="16" xfId="0" applyNumberFormat="1" applyFont="1" applyFill="1" applyBorder="1" applyAlignment="1">
      <alignment horizontal="right"/>
    </xf>
    <xf numFmtId="165" fontId="10" fillId="2" borderId="6" xfId="0" applyNumberFormat="1" applyFont="1" applyFill="1" applyBorder="1" applyAlignment="1">
      <alignment horizontal="right"/>
    </xf>
    <xf numFmtId="165" fontId="5" fillId="0" borderId="17" xfId="0" applyNumberFormat="1" applyFont="1" applyBorder="1" applyAlignment="1">
      <alignment horizontal="right"/>
    </xf>
    <xf numFmtId="165" fontId="10" fillId="2" borderId="17" xfId="0" applyNumberFormat="1" applyFont="1" applyFill="1" applyBorder="1" applyAlignment="1">
      <alignment horizontal="right"/>
    </xf>
    <xf numFmtId="165" fontId="10" fillId="2" borderId="18" xfId="0" applyNumberFormat="1" applyFont="1" applyFill="1" applyBorder="1" applyAlignment="1">
      <alignment horizontal="right"/>
    </xf>
    <xf numFmtId="165" fontId="9" fillId="3" borderId="16" xfId="0" applyNumberFormat="1" applyFont="1" applyFill="1" applyBorder="1" applyAlignment="1">
      <alignment horizontal="right"/>
    </xf>
    <xf numFmtId="165" fontId="9" fillId="3" borderId="6" xfId="0" applyNumberFormat="1" applyFont="1" applyFill="1" applyBorder="1" applyAlignment="1">
      <alignment horizontal="right"/>
    </xf>
    <xf numFmtId="165" fontId="9" fillId="3" borderId="17" xfId="0" applyNumberFormat="1" applyFont="1" applyFill="1" applyBorder="1" applyAlignment="1">
      <alignment horizontal="right"/>
    </xf>
    <xf numFmtId="165" fontId="9" fillId="3" borderId="18" xfId="0" applyNumberFormat="1" applyFont="1" applyFill="1" applyBorder="1" applyAlignment="1">
      <alignment horizontal="right"/>
    </xf>
    <xf numFmtId="1" fontId="5" fillId="0" borderId="16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1" fontId="10" fillId="2" borderId="16" xfId="0" applyNumberFormat="1" applyFont="1" applyFill="1" applyBorder="1" applyAlignment="1">
      <alignment horizontal="center"/>
    </xf>
    <xf numFmtId="1" fontId="10" fillId="2" borderId="6" xfId="0" applyNumberFormat="1" applyFont="1" applyFill="1" applyBorder="1" applyAlignment="1">
      <alignment horizontal="center"/>
    </xf>
    <xf numFmtId="1" fontId="5" fillId="0" borderId="17" xfId="0" applyNumberFormat="1" applyFont="1" applyBorder="1" applyAlignment="1">
      <alignment horizontal="center"/>
    </xf>
    <xf numFmtId="1" fontId="10" fillId="2" borderId="17" xfId="0" applyNumberFormat="1" applyFont="1" applyFill="1" applyBorder="1" applyAlignment="1">
      <alignment horizontal="center"/>
    </xf>
    <xf numFmtId="1" fontId="10" fillId="2" borderId="18" xfId="0" applyNumberFormat="1" applyFont="1" applyFill="1" applyBorder="1" applyAlignment="1">
      <alignment horizontal="center"/>
    </xf>
    <xf numFmtId="1" fontId="4" fillId="0" borderId="0" xfId="0" applyNumberFormat="1" applyFont="1" applyAlignment="1">
      <alignment horizontal="center"/>
    </xf>
    <xf numFmtId="1" fontId="9" fillId="3" borderId="16" xfId="0" applyNumberFormat="1" applyFont="1" applyFill="1" applyBorder="1" applyAlignment="1">
      <alignment horizontal="center"/>
    </xf>
    <xf numFmtId="1" fontId="9" fillId="3" borderId="6" xfId="0" applyNumberFormat="1" applyFont="1" applyFill="1" applyBorder="1" applyAlignment="1">
      <alignment horizontal="center"/>
    </xf>
    <xf numFmtId="1" fontId="9" fillId="3" borderId="17" xfId="0" applyNumberFormat="1" applyFont="1" applyFill="1" applyBorder="1" applyAlignment="1">
      <alignment horizontal="center"/>
    </xf>
    <xf numFmtId="1" fontId="9" fillId="3" borderId="18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164" fontId="4" fillId="0" borderId="0" xfId="0" applyNumberFormat="1" applyFont="1" applyAlignment="1">
      <alignment horizontal="center"/>
    </xf>
    <xf numFmtId="165" fontId="14" fillId="0" borderId="6" xfId="0" applyNumberFormat="1" applyFont="1" applyBorder="1" applyAlignment="1">
      <alignment horizontal="right"/>
    </xf>
    <xf numFmtId="165" fontId="14" fillId="0" borderId="16" xfId="0" applyNumberFormat="1" applyFont="1" applyBorder="1" applyAlignment="1">
      <alignment horizontal="right"/>
    </xf>
    <xf numFmtId="165" fontId="14" fillId="0" borderId="11" xfId="0" applyNumberFormat="1" applyFont="1" applyBorder="1" applyAlignment="1">
      <alignment horizontal="right"/>
    </xf>
    <xf numFmtId="165" fontId="14" fillId="0" borderId="1" xfId="0" applyNumberFormat="1" applyFont="1" applyBorder="1" applyAlignment="1">
      <alignment horizontal="right"/>
    </xf>
    <xf numFmtId="165" fontId="14" fillId="0" borderId="17" xfId="0" applyNumberFormat="1" applyFont="1" applyBorder="1" applyAlignment="1">
      <alignment horizontal="right"/>
    </xf>
    <xf numFmtId="165" fontId="14" fillId="0" borderId="3" xfId="0" applyNumberFormat="1" applyFont="1" applyBorder="1" applyAlignment="1">
      <alignment horizontal="right"/>
    </xf>
    <xf numFmtId="165" fontId="14" fillId="0" borderId="4" xfId="0" applyNumberFormat="1" applyFont="1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5" xfId="0" applyBorder="1" applyAlignment="1">
      <alignment horizontal="center" wrapText="1"/>
    </xf>
    <xf numFmtId="1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33" xfId="0" applyFont="1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164" fontId="0" fillId="0" borderId="0" xfId="0" applyNumberFormat="1" applyAlignment="1">
      <alignment horizontal="center"/>
    </xf>
    <xf numFmtId="1" fontId="12" fillId="0" borderId="6" xfId="0" applyNumberFormat="1" applyFont="1" applyBorder="1" applyAlignment="1">
      <alignment horizontal="center"/>
    </xf>
    <xf numFmtId="1" fontId="0" fillId="4" borderId="6" xfId="0" applyNumberFormat="1" applyFill="1" applyBorder="1" applyAlignment="1">
      <alignment horizontal="center"/>
    </xf>
    <xf numFmtId="1" fontId="0" fillId="5" borderId="6" xfId="0" applyNumberFormat="1" applyFill="1" applyBorder="1" applyAlignment="1">
      <alignment horizontal="center"/>
    </xf>
    <xf numFmtId="1" fontId="0" fillId="6" borderId="6" xfId="0" applyNumberFormat="1" applyFill="1" applyBorder="1" applyAlignment="1">
      <alignment horizontal="center"/>
    </xf>
    <xf numFmtId="1" fontId="12" fillId="0" borderId="16" xfId="0" applyNumberFormat="1" applyFont="1" applyBorder="1" applyAlignment="1">
      <alignment horizontal="center"/>
    </xf>
    <xf numFmtId="1" fontId="0" fillId="4" borderId="16" xfId="0" applyNumberFormat="1" applyFill="1" applyBorder="1" applyAlignment="1">
      <alignment horizontal="center"/>
    </xf>
    <xf numFmtId="1" fontId="0" fillId="5" borderId="16" xfId="0" applyNumberFormat="1" applyFill="1" applyBorder="1" applyAlignment="1">
      <alignment horizontal="center"/>
    </xf>
    <xf numFmtId="1" fontId="0" fillId="6" borderId="16" xfId="0" applyNumberFormat="1" applyFill="1" applyBorder="1" applyAlignment="1">
      <alignment horizontal="center"/>
    </xf>
    <xf numFmtId="1" fontId="0" fillId="7" borderId="16" xfId="0" applyNumberFormat="1" applyFill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1" fontId="0" fillId="4" borderId="17" xfId="0" applyNumberFormat="1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0" fillId="6" borderId="17" xfId="0" applyNumberFormat="1" applyFill="1" applyBorder="1" applyAlignment="1">
      <alignment horizontal="center"/>
    </xf>
    <xf numFmtId="1" fontId="0" fillId="7" borderId="17" xfId="0" applyNumberFormat="1" applyFill="1" applyBorder="1" applyAlignment="1">
      <alignment horizontal="center"/>
    </xf>
    <xf numFmtId="1" fontId="0" fillId="8" borderId="18" xfId="0" applyNumberFormat="1" applyFill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65" fontId="12" fillId="0" borderId="6" xfId="0" applyNumberFormat="1" applyFont="1" applyBorder="1" applyAlignment="1">
      <alignment horizontal="right"/>
    </xf>
    <xf numFmtId="165" fontId="12" fillId="0" borderId="16" xfId="0" applyNumberFormat="1" applyFont="1" applyBorder="1" applyAlignment="1">
      <alignment horizontal="right"/>
    </xf>
    <xf numFmtId="165" fontId="0" fillId="4" borderId="16" xfId="0" applyNumberFormat="1" applyFill="1" applyBorder="1" applyAlignment="1">
      <alignment horizontal="right"/>
    </xf>
    <xf numFmtId="165" fontId="0" fillId="4" borderId="6" xfId="0" applyNumberFormat="1" applyFill="1" applyBorder="1" applyAlignment="1">
      <alignment horizontal="right"/>
    </xf>
    <xf numFmtId="165" fontId="0" fillId="5" borderId="16" xfId="0" applyNumberFormat="1" applyFill="1" applyBorder="1" applyAlignment="1">
      <alignment horizontal="right"/>
    </xf>
    <xf numFmtId="165" fontId="0" fillId="5" borderId="6" xfId="0" applyNumberFormat="1" applyFill="1" applyBorder="1" applyAlignment="1">
      <alignment horizontal="right"/>
    </xf>
    <xf numFmtId="165" fontId="0" fillId="6" borderId="16" xfId="0" applyNumberFormat="1" applyFill="1" applyBorder="1" applyAlignment="1">
      <alignment horizontal="right"/>
    </xf>
    <xf numFmtId="165" fontId="0" fillId="6" borderId="6" xfId="0" applyNumberFormat="1" applyFill="1" applyBorder="1" applyAlignment="1">
      <alignment horizontal="right"/>
    </xf>
    <xf numFmtId="165" fontId="0" fillId="7" borderId="16" xfId="0" applyNumberFormat="1" applyFill="1" applyBorder="1" applyAlignment="1">
      <alignment horizontal="right"/>
    </xf>
    <xf numFmtId="165" fontId="12" fillId="0" borderId="17" xfId="0" applyNumberFormat="1" applyFont="1" applyBorder="1" applyAlignment="1">
      <alignment horizontal="right"/>
    </xf>
    <xf numFmtId="165" fontId="0" fillId="4" borderId="17" xfId="0" applyNumberFormat="1" applyFill="1" applyBorder="1" applyAlignment="1">
      <alignment horizontal="right"/>
    </xf>
    <xf numFmtId="165" fontId="0" fillId="5" borderId="17" xfId="0" applyNumberFormat="1" applyFill="1" applyBorder="1" applyAlignment="1">
      <alignment horizontal="right"/>
    </xf>
    <xf numFmtId="165" fontId="0" fillId="6" borderId="17" xfId="0" applyNumberFormat="1" applyFill="1" applyBorder="1" applyAlignment="1">
      <alignment horizontal="right"/>
    </xf>
    <xf numFmtId="165" fontId="0" fillId="7" borderId="17" xfId="0" applyNumberFormat="1" applyFill="1" applyBorder="1" applyAlignment="1">
      <alignment horizontal="right"/>
    </xf>
    <xf numFmtId="165" fontId="0" fillId="8" borderId="18" xfId="0" applyNumberFormat="1" applyFill="1" applyBorder="1" applyAlignment="1">
      <alignment horizontal="right"/>
    </xf>
    <xf numFmtId="165" fontId="12" fillId="0" borderId="0" xfId="0" applyNumberFormat="1" applyFont="1" applyAlignment="1">
      <alignment horizontal="right"/>
    </xf>
    <xf numFmtId="1" fontId="12" fillId="0" borderId="0" xfId="0" applyNumberFormat="1" applyFont="1" applyAlignment="1">
      <alignment horizontal="center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3" fillId="0" borderId="0" xfId="0" applyNumberFormat="1" applyFont="1"/>
    <xf numFmtId="2" fontId="0" fillId="4" borderId="1" xfId="0" applyNumberFormat="1" applyFill="1" applyBorder="1" applyAlignment="1">
      <alignment horizontal="right"/>
    </xf>
    <xf numFmtId="167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168" fontId="0" fillId="0" borderId="1" xfId="0" applyNumberFormat="1" applyBorder="1" applyAlignment="1">
      <alignment horizontal="right"/>
    </xf>
    <xf numFmtId="2" fontId="0" fillId="5" borderId="1" xfId="0" applyNumberFormat="1" applyFill="1" applyBorder="1" applyAlignment="1">
      <alignment horizontal="right"/>
    </xf>
    <xf numFmtId="2" fontId="0" fillId="6" borderId="1" xfId="0" applyNumberFormat="1" applyFill="1" applyBorder="1" applyAlignment="1">
      <alignment horizontal="right"/>
    </xf>
    <xf numFmtId="2" fontId="0" fillId="7" borderId="1" xfId="0" applyNumberFormat="1" applyFill="1" applyBorder="1" applyAlignment="1">
      <alignment horizontal="right"/>
    </xf>
    <xf numFmtId="2" fontId="5" fillId="4" borderId="11" xfId="0" applyNumberFormat="1" applyFont="1" applyFill="1" applyBorder="1" applyAlignment="1">
      <alignment horizontal="right"/>
    </xf>
    <xf numFmtId="2" fontId="5" fillId="5" borderId="11" xfId="0" applyNumberFormat="1" applyFont="1" applyFill="1" applyBorder="1" applyAlignment="1">
      <alignment horizontal="right"/>
    </xf>
    <xf numFmtId="2" fontId="5" fillId="6" borderId="11" xfId="0" applyNumberFormat="1" applyFont="1" applyFill="1" applyBorder="1" applyAlignment="1">
      <alignment horizontal="right"/>
    </xf>
    <xf numFmtId="2" fontId="5" fillId="7" borderId="11" xfId="0" applyNumberFormat="1" applyFont="1" applyFill="1" applyBorder="1" applyAlignment="1">
      <alignment horizontal="right"/>
    </xf>
    <xf numFmtId="2" fontId="0" fillId="8" borderId="3" xfId="0" applyNumberFormat="1" applyFill="1" applyBorder="1" applyAlignment="1">
      <alignment horizontal="right"/>
    </xf>
    <xf numFmtId="0" fontId="0" fillId="0" borderId="3" xfId="0" applyBorder="1" applyAlignment="1">
      <alignment horizontal="right"/>
    </xf>
    <xf numFmtId="168" fontId="0" fillId="0" borderId="3" xfId="0" applyNumberFormat="1" applyBorder="1" applyAlignment="1">
      <alignment horizontal="right"/>
    </xf>
    <xf numFmtId="2" fontId="5" fillId="8" borderId="4" xfId="0" applyNumberFormat="1" applyFont="1" applyFill="1" applyBorder="1" applyAlignment="1">
      <alignment horizontal="right"/>
    </xf>
    <xf numFmtId="0" fontId="0" fillId="0" borderId="15" xfId="0" applyBorder="1"/>
    <xf numFmtId="2" fontId="3" fillId="0" borderId="11" xfId="0" applyNumberFormat="1" applyFont="1" applyBorder="1"/>
    <xf numFmtId="2" fontId="3" fillId="0" borderId="4" xfId="0" applyNumberFormat="1" applyFont="1" applyBorder="1"/>
    <xf numFmtId="0" fontId="5" fillId="0" borderId="29" xfId="0" applyFont="1" applyBorder="1" applyAlignment="1">
      <alignment horizontal="center"/>
    </xf>
    <xf numFmtId="0" fontId="15" fillId="10" borderId="33" xfId="0" applyFont="1" applyFill="1" applyBorder="1" applyAlignment="1">
      <alignment horizontal="center"/>
    </xf>
    <xf numFmtId="1" fontId="5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2" fontId="0" fillId="0" borderId="0" xfId="0" applyNumberFormat="1" applyAlignment="1">
      <alignment horizontal="left"/>
    </xf>
    <xf numFmtId="0" fontId="17" fillId="0" borderId="26" xfId="0" applyFont="1" applyBorder="1"/>
    <xf numFmtId="0" fontId="19" fillId="0" borderId="20" xfId="0" applyFont="1" applyBorder="1" applyAlignment="1">
      <alignment horizontal="center" wrapText="1"/>
    </xf>
    <xf numFmtId="0" fontId="18" fillId="0" borderId="5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1" fontId="17" fillId="0" borderId="6" xfId="0" applyNumberFormat="1" applyFont="1" applyBorder="1" applyAlignment="1">
      <alignment horizontal="center"/>
    </xf>
    <xf numFmtId="1" fontId="17" fillId="0" borderId="2" xfId="0" applyNumberFormat="1" applyFont="1" applyBorder="1" applyAlignment="1">
      <alignment horizontal="center"/>
    </xf>
    <xf numFmtId="1" fontId="18" fillId="0" borderId="10" xfId="0" applyNumberFormat="1" applyFont="1" applyBorder="1" applyAlignment="1">
      <alignment horizontal="center"/>
    </xf>
    <xf numFmtId="1" fontId="17" fillId="0" borderId="7" xfId="0" applyNumberFormat="1" applyFont="1" applyBorder="1" applyAlignment="1">
      <alignment horizontal="center"/>
    </xf>
    <xf numFmtId="1" fontId="17" fillId="0" borderId="1" xfId="0" applyNumberFormat="1" applyFont="1" applyBorder="1" applyAlignment="1">
      <alignment horizontal="center"/>
    </xf>
    <xf numFmtId="1" fontId="18" fillId="0" borderId="1" xfId="0" applyNumberFormat="1" applyFont="1" applyBorder="1" applyAlignment="1">
      <alignment horizontal="center"/>
    </xf>
    <xf numFmtId="1" fontId="17" fillId="0" borderId="11" xfId="0" applyNumberFormat="1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1" fontId="18" fillId="0" borderId="5" xfId="0" applyNumberFormat="1" applyFont="1" applyBorder="1" applyAlignment="1">
      <alignment horizontal="center"/>
    </xf>
    <xf numFmtId="1" fontId="17" fillId="0" borderId="3" xfId="0" applyNumberFormat="1" applyFont="1" applyBorder="1" applyAlignment="1">
      <alignment horizontal="center"/>
    </xf>
    <xf numFmtId="1" fontId="17" fillId="0" borderId="4" xfId="0" applyNumberFormat="1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10" fontId="0" fillId="0" borderId="45" xfId="0" applyNumberFormat="1" applyBorder="1" applyAlignment="1">
      <alignment horizontal="center"/>
    </xf>
    <xf numFmtId="0" fontId="2" fillId="12" borderId="37" xfId="0" applyFont="1" applyFill="1" applyBorder="1" applyAlignment="1">
      <alignment horizontal="center"/>
    </xf>
    <xf numFmtId="10" fontId="0" fillId="12" borderId="14" xfId="0" applyNumberFormat="1" applyFill="1" applyBorder="1" applyAlignment="1">
      <alignment horizontal="center"/>
    </xf>
    <xf numFmtId="0" fontId="2" fillId="12" borderId="38" xfId="0" applyFont="1" applyFill="1" applyBorder="1" applyAlignment="1">
      <alignment horizontal="center"/>
    </xf>
    <xf numFmtId="10" fontId="0" fillId="12" borderId="1" xfId="0" applyNumberFormat="1" applyFill="1" applyBorder="1" applyAlignment="1">
      <alignment horizontal="center"/>
    </xf>
    <xf numFmtId="0" fontId="2" fillId="12" borderId="39" xfId="0" applyFont="1" applyFill="1" applyBorder="1" applyAlignment="1">
      <alignment horizontal="center"/>
    </xf>
    <xf numFmtId="10" fontId="0" fillId="12" borderId="3" xfId="0" applyNumberFormat="1" applyFill="1" applyBorder="1" applyAlignment="1">
      <alignment horizontal="center"/>
    </xf>
    <xf numFmtId="0" fontId="8" fillId="0" borderId="0" xfId="0" applyFont="1"/>
    <xf numFmtId="0" fontId="20" fillId="0" borderId="20" xfId="0" applyFont="1" applyBorder="1" applyAlignment="1">
      <alignment horizontal="center" wrapText="1"/>
    </xf>
    <xf numFmtId="0" fontId="8" fillId="0" borderId="13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15" xfId="0" applyFont="1" applyBorder="1" applyAlignment="1">
      <alignment horizontal="center" wrapText="1"/>
    </xf>
    <xf numFmtId="0" fontId="20" fillId="0" borderId="8" xfId="0" applyFont="1" applyBorder="1" applyAlignment="1">
      <alignment horizontal="center"/>
    </xf>
    <xf numFmtId="10" fontId="8" fillId="0" borderId="7" xfId="0" applyNumberFormat="1" applyFont="1" applyBorder="1" applyAlignment="1">
      <alignment horizontal="center"/>
    </xf>
    <xf numFmtId="166" fontId="8" fillId="0" borderId="0" xfId="0" applyNumberFormat="1" applyFont="1"/>
    <xf numFmtId="0" fontId="20" fillId="0" borderId="44" xfId="0" applyFont="1" applyBorder="1" applyAlignment="1">
      <alignment horizontal="center"/>
    </xf>
    <xf numFmtId="10" fontId="8" fillId="0" borderId="45" xfId="0" applyNumberFormat="1" applyFont="1" applyBorder="1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wrapText="1"/>
    </xf>
    <xf numFmtId="0" fontId="2" fillId="0" borderId="47" xfId="0" applyFont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13" borderId="13" xfId="0" applyFill="1" applyBorder="1" applyAlignment="1">
      <alignment horizontal="center" wrapText="1"/>
    </xf>
    <xf numFmtId="10" fontId="0" fillId="0" borderId="14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171" fontId="0" fillId="0" borderId="0" xfId="0" applyNumberFormat="1" applyAlignment="1">
      <alignment horizontal="center"/>
    </xf>
    <xf numFmtId="0" fontId="5" fillId="0" borderId="0" xfId="0" applyFont="1" applyAlignment="1">
      <alignment horizontal="center" wrapText="1"/>
    </xf>
    <xf numFmtId="2" fontId="5" fillId="0" borderId="0" xfId="0" applyNumberFormat="1" applyFont="1" applyAlignment="1">
      <alignment horizontal="center"/>
    </xf>
    <xf numFmtId="0" fontId="0" fillId="0" borderId="22" xfId="0" applyBorder="1" applyAlignment="1">
      <alignment horizontal="center" wrapText="1"/>
    </xf>
    <xf numFmtId="0" fontId="2" fillId="0" borderId="48" xfId="0" applyFont="1" applyBorder="1" applyAlignment="1">
      <alignment horizontal="center" wrapText="1"/>
    </xf>
    <xf numFmtId="0" fontId="0" fillId="0" borderId="49" xfId="0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7" xfId="0" applyFont="1" applyBorder="1" applyAlignment="1">
      <alignment horizontal="center" wrapText="1"/>
    </xf>
    <xf numFmtId="0" fontId="23" fillId="0" borderId="41" xfId="0" applyFon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0" fontId="2" fillId="0" borderId="14" xfId="0" applyFont="1" applyBorder="1" applyAlignment="1">
      <alignment horizontal="center"/>
    </xf>
    <xf numFmtId="2" fontId="0" fillId="0" borderId="6" xfId="0" applyNumberFormat="1" applyBorder="1" applyAlignment="1">
      <alignment horizontal="right"/>
    </xf>
    <xf numFmtId="2" fontId="0" fillId="0" borderId="2" xfId="0" applyNumberFormat="1" applyBorder="1" applyAlignment="1">
      <alignment horizontal="right"/>
    </xf>
    <xf numFmtId="2" fontId="0" fillId="0" borderId="10" xfId="0" applyNumberFormat="1" applyBorder="1" applyAlignment="1">
      <alignment horizontal="right"/>
    </xf>
    <xf numFmtId="2" fontId="0" fillId="0" borderId="7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0" fillId="0" borderId="5" xfId="0" applyNumberFormat="1" applyBorder="1" applyAlignment="1">
      <alignment horizontal="right"/>
    </xf>
    <xf numFmtId="2" fontId="25" fillId="0" borderId="3" xfId="0" applyNumberFormat="1" applyFont="1" applyBorder="1" applyAlignment="1">
      <alignment horizontal="right"/>
    </xf>
    <xf numFmtId="2" fontId="25" fillId="0" borderId="1" xfId="0" applyNumberFormat="1" applyFont="1" applyBorder="1" applyAlignment="1">
      <alignment horizontal="right"/>
    </xf>
    <xf numFmtId="2" fontId="25" fillId="0" borderId="11" xfId="0" applyNumberFormat="1" applyFont="1" applyBorder="1" applyAlignment="1">
      <alignment horizontal="right"/>
    </xf>
    <xf numFmtId="2" fontId="27" fillId="0" borderId="0" xfId="0" applyNumberFormat="1" applyFont="1"/>
    <xf numFmtId="2" fontId="5" fillId="14" borderId="11" xfId="0" applyNumberFormat="1" applyFont="1" applyFill="1" applyBorder="1" applyAlignment="1">
      <alignment horizontal="right"/>
    </xf>
    <xf numFmtId="2" fontId="5" fillId="14" borderId="1" xfId="0" applyNumberFormat="1" applyFont="1" applyFill="1" applyBorder="1" applyAlignment="1">
      <alignment horizontal="right"/>
    </xf>
    <xf numFmtId="2" fontId="5" fillId="5" borderId="1" xfId="0" applyNumberFormat="1" applyFont="1" applyFill="1" applyBorder="1" applyAlignment="1">
      <alignment horizontal="right"/>
    </xf>
    <xf numFmtId="2" fontId="5" fillId="15" borderId="1" xfId="0" applyNumberFormat="1" applyFont="1" applyFill="1" applyBorder="1" applyAlignment="1">
      <alignment horizontal="right"/>
    </xf>
    <xf numFmtId="2" fontId="5" fillId="16" borderId="1" xfId="0" applyNumberFormat="1" applyFont="1" applyFill="1" applyBorder="1" applyAlignment="1">
      <alignment horizontal="right"/>
    </xf>
    <xf numFmtId="2" fontId="5" fillId="14" borderId="3" xfId="0" applyNumberFormat="1" applyFont="1" applyFill="1" applyBorder="1" applyAlignment="1">
      <alignment horizontal="right"/>
    </xf>
    <xf numFmtId="2" fontId="5" fillId="5" borderId="3" xfId="0" applyNumberFormat="1" applyFont="1" applyFill="1" applyBorder="1" applyAlignment="1">
      <alignment horizontal="right"/>
    </xf>
    <xf numFmtId="2" fontId="5" fillId="15" borderId="3" xfId="0" applyNumberFormat="1" applyFont="1" applyFill="1" applyBorder="1" applyAlignment="1">
      <alignment horizontal="right"/>
    </xf>
    <xf numFmtId="2" fontId="5" fillId="16" borderId="3" xfId="0" applyNumberFormat="1" applyFont="1" applyFill="1" applyBorder="1" applyAlignment="1">
      <alignment horizontal="right"/>
    </xf>
    <xf numFmtId="2" fontId="5" fillId="8" borderId="3" xfId="0" applyNumberFormat="1" applyFont="1" applyFill="1" applyBorder="1" applyAlignment="1">
      <alignment horizontal="right"/>
    </xf>
    <xf numFmtId="10" fontId="0" fillId="0" borderId="0" xfId="0" applyNumberFormat="1"/>
    <xf numFmtId="165" fontId="0" fillId="0" borderId="16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5" fontId="0" fillId="0" borderId="17" xfId="0" applyNumberFormat="1" applyBorder="1" applyAlignment="1">
      <alignment horizontal="right"/>
    </xf>
    <xf numFmtId="0" fontId="0" fillId="0" borderId="4" xfId="0" applyBorder="1" applyAlignment="1">
      <alignment horizontal="right"/>
    </xf>
    <xf numFmtId="2" fontId="0" fillId="4" borderId="11" xfId="0" applyNumberFormat="1" applyFill="1" applyBorder="1" applyAlignment="1">
      <alignment horizontal="right"/>
    </xf>
    <xf numFmtId="2" fontId="0" fillId="5" borderId="11" xfId="0" applyNumberFormat="1" applyFill="1" applyBorder="1" applyAlignment="1">
      <alignment horizontal="right"/>
    </xf>
    <xf numFmtId="2" fontId="0" fillId="6" borderId="11" xfId="0" applyNumberFormat="1" applyFill="1" applyBorder="1" applyAlignment="1">
      <alignment horizontal="right"/>
    </xf>
    <xf numFmtId="2" fontId="0" fillId="7" borderId="11" xfId="0" applyNumberFormat="1" applyFill="1" applyBorder="1" applyAlignment="1">
      <alignment horizontal="right"/>
    </xf>
    <xf numFmtId="2" fontId="0" fillId="8" borderId="4" xfId="0" applyNumberFormat="1" applyFill="1" applyBorder="1" applyAlignment="1">
      <alignment horizontal="right"/>
    </xf>
    <xf numFmtId="164" fontId="0" fillId="0" borderId="28" xfId="0" applyNumberFormat="1" applyBorder="1" applyAlignment="1">
      <alignment horizontal="right"/>
    </xf>
    <xf numFmtId="166" fontId="0" fillId="0" borderId="11" xfId="0" applyNumberFormat="1" applyBorder="1" applyAlignment="1">
      <alignment horizontal="right"/>
    </xf>
    <xf numFmtId="164" fontId="0" fillId="0" borderId="46" xfId="0" applyNumberFormat="1" applyBorder="1" applyAlignment="1">
      <alignment horizontal="right"/>
    </xf>
    <xf numFmtId="166" fontId="0" fillId="0" borderId="4" xfId="0" applyNumberFormat="1" applyBorder="1" applyAlignment="1">
      <alignment horizontal="right"/>
    </xf>
    <xf numFmtId="164" fontId="0" fillId="12" borderId="15" xfId="0" applyNumberFormat="1" applyFill="1" applyBorder="1" applyAlignment="1">
      <alignment horizontal="right"/>
    </xf>
    <xf numFmtId="166" fontId="0" fillId="0" borderId="0" xfId="0" applyNumberFormat="1" applyAlignment="1">
      <alignment horizontal="right"/>
    </xf>
    <xf numFmtId="164" fontId="0" fillId="12" borderId="11" xfId="0" applyNumberFormat="1" applyFill="1" applyBorder="1" applyAlignment="1">
      <alignment horizontal="right"/>
    </xf>
    <xf numFmtId="164" fontId="0" fillId="12" borderId="4" xfId="0" applyNumberFormat="1" applyFill="1" applyBorder="1" applyAlignment="1">
      <alignment horizontal="right"/>
    </xf>
    <xf numFmtId="164" fontId="0" fillId="0" borderId="6" xfId="0" applyNumberFormat="1" applyBorder="1" applyAlignment="1">
      <alignment horizontal="right"/>
    </xf>
    <xf numFmtId="2" fontId="0" fillId="0" borderId="16" xfId="0" applyNumberFormat="1" applyBorder="1" applyAlignment="1">
      <alignment horizontal="right"/>
    </xf>
    <xf numFmtId="2" fontId="0" fillId="0" borderId="17" xfId="0" applyNumberFormat="1" applyBorder="1" applyAlignment="1">
      <alignment horizontal="right"/>
    </xf>
    <xf numFmtId="164" fontId="0" fillId="0" borderId="17" xfId="0" applyNumberFormat="1" applyBorder="1" applyAlignment="1">
      <alignment horizontal="right"/>
    </xf>
    <xf numFmtId="2" fontId="0" fillId="0" borderId="18" xfId="0" applyNumberFormat="1" applyBorder="1" applyAlignment="1">
      <alignment horizontal="right"/>
    </xf>
    <xf numFmtId="2" fontId="1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2" fontId="4" fillId="0" borderId="0" xfId="0" applyNumberFormat="1" applyFont="1" applyAlignment="1">
      <alignment horizontal="right"/>
    </xf>
    <xf numFmtId="164" fontId="0" fillId="0" borderId="2" xfId="0" applyNumberFormat="1" applyBorder="1" applyAlignment="1">
      <alignment horizontal="right"/>
    </xf>
    <xf numFmtId="164" fontId="0" fillId="0" borderId="10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0" fillId="0" borderId="11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16" xfId="0" applyNumberFormat="1" applyBorder="1" applyAlignment="1">
      <alignment horizontal="right"/>
    </xf>
    <xf numFmtId="1" fontId="0" fillId="0" borderId="11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3" xfId="0" applyNumberFormat="1" applyBorder="1" applyAlignment="1">
      <alignment horizontal="right"/>
    </xf>
    <xf numFmtId="1" fontId="0" fillId="0" borderId="4" xfId="0" applyNumberFormat="1" applyBorder="1" applyAlignment="1">
      <alignment horizontal="right"/>
    </xf>
    <xf numFmtId="164" fontId="0" fillId="9" borderId="6" xfId="0" applyNumberFormat="1" applyFill="1" applyBorder="1" applyAlignment="1">
      <alignment horizontal="right"/>
    </xf>
    <xf numFmtId="164" fontId="0" fillId="0" borderId="18" xfId="0" applyNumberFormat="1" applyBorder="1" applyAlignment="1">
      <alignment horizontal="right"/>
    </xf>
    <xf numFmtId="164" fontId="0" fillId="0" borderId="40" xfId="0" applyNumberFormat="1" applyBorder="1" applyAlignment="1">
      <alignment horizontal="right"/>
    </xf>
    <xf numFmtId="164" fontId="5" fillId="11" borderId="12" xfId="0" applyNumberFormat="1" applyFont="1" applyFill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1" fillId="0" borderId="28" xfId="0" applyNumberFormat="1" applyFont="1" applyBorder="1" applyAlignment="1">
      <alignment horizontal="right"/>
    </xf>
    <xf numFmtId="164" fontId="5" fillId="11" borderId="8" xfId="0" applyNumberFormat="1" applyFont="1" applyFill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164" fontId="1" fillId="0" borderId="29" xfId="0" applyNumberFormat="1" applyFont="1" applyBorder="1" applyAlignment="1">
      <alignment horizontal="right"/>
    </xf>
    <xf numFmtId="164" fontId="5" fillId="11" borderId="9" xfId="0" applyNumberFormat="1" applyFont="1" applyFill="1" applyBorder="1" applyAlignment="1">
      <alignment horizontal="right"/>
    </xf>
    <xf numFmtId="2" fontId="0" fillId="0" borderId="37" xfId="0" applyNumberFormat="1" applyBorder="1" applyAlignment="1">
      <alignment horizontal="right"/>
    </xf>
    <xf numFmtId="164" fontId="0" fillId="0" borderId="13" xfId="0" applyNumberFormat="1" applyBorder="1" applyAlignment="1">
      <alignment horizontal="right"/>
    </xf>
    <xf numFmtId="165" fontId="0" fillId="0" borderId="13" xfId="0" applyNumberFormat="1" applyBorder="1" applyAlignment="1">
      <alignment horizontal="right"/>
    </xf>
    <xf numFmtId="2" fontId="5" fillId="0" borderId="41" xfId="0" applyNumberFormat="1" applyFont="1" applyBorder="1" applyAlignment="1">
      <alignment horizontal="right"/>
    </xf>
    <xf numFmtId="2" fontId="0" fillId="0" borderId="42" xfId="0" applyNumberFormat="1" applyBorder="1" applyAlignment="1">
      <alignment horizontal="right"/>
    </xf>
    <xf numFmtId="2" fontId="5" fillId="0" borderId="16" xfId="0" applyNumberFormat="1" applyFont="1" applyBorder="1" applyAlignment="1">
      <alignment horizontal="right"/>
    </xf>
    <xf numFmtId="2" fontId="0" fillId="0" borderId="43" xfId="0" applyNumberFormat="1" applyBorder="1" applyAlignment="1">
      <alignment horizontal="right"/>
    </xf>
    <xf numFmtId="2" fontId="5" fillId="0" borderId="18" xfId="0" applyNumberFormat="1" applyFont="1" applyBorder="1" applyAlignment="1">
      <alignment horizontal="right"/>
    </xf>
    <xf numFmtId="164" fontId="8" fillId="0" borderId="28" xfId="0" applyNumberFormat="1" applyFont="1" applyBorder="1" applyAlignment="1">
      <alignment horizontal="right"/>
    </xf>
    <xf numFmtId="166" fontId="8" fillId="0" borderId="11" xfId="0" applyNumberFormat="1" applyFont="1" applyBorder="1" applyAlignment="1">
      <alignment horizontal="right"/>
    </xf>
    <xf numFmtId="164" fontId="8" fillId="0" borderId="46" xfId="0" applyNumberFormat="1" applyFont="1" applyBorder="1" applyAlignment="1">
      <alignment horizontal="right"/>
    </xf>
    <xf numFmtId="166" fontId="8" fillId="0" borderId="4" xfId="0" applyNumberFormat="1" applyFont="1" applyBorder="1" applyAlignment="1">
      <alignment horizontal="right"/>
    </xf>
    <xf numFmtId="164" fontId="0" fillId="0" borderId="15" xfId="0" applyNumberFormat="1" applyBorder="1" applyAlignment="1">
      <alignment horizontal="right"/>
    </xf>
    <xf numFmtId="166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3" fontId="0" fillId="13" borderId="6" xfId="0" applyNumberFormat="1" applyFill="1" applyBorder="1" applyAlignment="1">
      <alignment horizontal="right"/>
    </xf>
    <xf numFmtId="169" fontId="8" fillId="0" borderId="2" xfId="0" applyNumberFormat="1" applyFont="1" applyBorder="1" applyAlignment="1">
      <alignment horizontal="right"/>
    </xf>
    <xf numFmtId="170" fontId="8" fillId="0" borderId="10" xfId="0" applyNumberFormat="1" applyFont="1" applyBorder="1" applyAlignment="1">
      <alignment horizontal="right"/>
    </xf>
    <xf numFmtId="3" fontId="0" fillId="13" borderId="7" xfId="0" applyNumberFormat="1" applyFill="1" applyBorder="1" applyAlignment="1">
      <alignment horizontal="right"/>
    </xf>
    <xf numFmtId="169" fontId="8" fillId="0" borderId="1" xfId="0" applyNumberFormat="1" applyFont="1" applyBorder="1" applyAlignment="1">
      <alignment horizontal="right"/>
    </xf>
    <xf numFmtId="170" fontId="8" fillId="0" borderId="11" xfId="0" applyNumberFormat="1" applyFont="1" applyBorder="1" applyAlignment="1">
      <alignment horizontal="right"/>
    </xf>
    <xf numFmtId="3" fontId="0" fillId="13" borderId="5" xfId="0" applyNumberFormat="1" applyFill="1" applyBorder="1" applyAlignment="1">
      <alignment horizontal="right"/>
    </xf>
    <xf numFmtId="169" fontId="8" fillId="0" borderId="3" xfId="0" applyNumberFormat="1" applyFont="1" applyBorder="1" applyAlignment="1">
      <alignment horizontal="right"/>
    </xf>
    <xf numFmtId="170" fontId="8" fillId="0" borderId="4" xfId="0" applyNumberFormat="1" applyFont="1" applyBorder="1" applyAlignment="1">
      <alignment horizontal="right"/>
    </xf>
    <xf numFmtId="169" fontId="0" fillId="0" borderId="6" xfId="0" applyNumberFormat="1" applyBorder="1" applyAlignment="1">
      <alignment horizontal="right"/>
    </xf>
    <xf numFmtId="169" fontId="0" fillId="0" borderId="16" xfId="0" applyNumberFormat="1" applyBorder="1" applyAlignment="1">
      <alignment horizontal="right"/>
    </xf>
    <xf numFmtId="169" fontId="0" fillId="0" borderId="11" xfId="0" applyNumberFormat="1" applyBorder="1" applyAlignment="1">
      <alignment horizontal="right"/>
    </xf>
    <xf numFmtId="169" fontId="0" fillId="0" borderId="1" xfId="0" applyNumberFormat="1" applyBorder="1" applyAlignment="1">
      <alignment horizontal="right"/>
    </xf>
    <xf numFmtId="169" fontId="0" fillId="0" borderId="17" xfId="0" applyNumberFormat="1" applyBorder="1" applyAlignment="1">
      <alignment horizontal="right"/>
    </xf>
    <xf numFmtId="169" fontId="0" fillId="0" borderId="3" xfId="0" applyNumberFormat="1" applyBorder="1" applyAlignment="1">
      <alignment horizontal="right"/>
    </xf>
    <xf numFmtId="169" fontId="0" fillId="0" borderId="4" xfId="0" applyNumberFormat="1" applyBorder="1" applyAlignment="1">
      <alignment horizontal="right"/>
    </xf>
    <xf numFmtId="171" fontId="0" fillId="0" borderId="2" xfId="0" applyNumberFormat="1" applyBorder="1" applyAlignment="1">
      <alignment horizontal="right"/>
    </xf>
    <xf numFmtId="171" fontId="0" fillId="0" borderId="10" xfId="0" applyNumberFormat="1" applyBorder="1" applyAlignment="1">
      <alignment horizontal="right"/>
    </xf>
    <xf numFmtId="171" fontId="0" fillId="0" borderId="1" xfId="0" applyNumberFormat="1" applyBorder="1" applyAlignment="1">
      <alignment horizontal="right"/>
    </xf>
    <xf numFmtId="171" fontId="0" fillId="0" borderId="11" xfId="0" applyNumberFormat="1" applyBorder="1" applyAlignment="1">
      <alignment horizontal="right"/>
    </xf>
    <xf numFmtId="171" fontId="0" fillId="0" borderId="3" xfId="0" applyNumberFormat="1" applyBorder="1" applyAlignment="1">
      <alignment horizontal="right"/>
    </xf>
    <xf numFmtId="171" fontId="0" fillId="0" borderId="4" xfId="0" applyNumberFormat="1" applyBorder="1" applyAlignment="1">
      <alignment horizontal="right"/>
    </xf>
    <xf numFmtId="2" fontId="3" fillId="0" borderId="0" xfId="0" applyNumberFormat="1" applyFont="1" applyAlignment="1">
      <alignment horizontal="right"/>
    </xf>
    <xf numFmtId="1" fontId="5" fillId="4" borderId="11" xfId="0" applyNumberFormat="1" applyFont="1" applyFill="1" applyBorder="1" applyAlignment="1">
      <alignment horizontal="right"/>
    </xf>
    <xf numFmtId="1" fontId="5" fillId="5" borderId="11" xfId="0" applyNumberFormat="1" applyFont="1" applyFill="1" applyBorder="1" applyAlignment="1">
      <alignment horizontal="right"/>
    </xf>
    <xf numFmtId="1" fontId="5" fillId="6" borderId="11" xfId="0" applyNumberFormat="1" applyFont="1" applyFill="1" applyBorder="1" applyAlignment="1">
      <alignment horizontal="right"/>
    </xf>
    <xf numFmtId="1" fontId="5" fillId="7" borderId="11" xfId="0" applyNumberFormat="1" applyFont="1" applyFill="1" applyBorder="1" applyAlignment="1">
      <alignment horizontal="right"/>
    </xf>
    <xf numFmtId="1" fontId="5" fillId="8" borderId="4" xfId="0" applyNumberFormat="1" applyFont="1" applyFill="1" applyBorder="1" applyAlignment="1">
      <alignment horizontal="right"/>
    </xf>
    <xf numFmtId="0" fontId="0" fillId="0" borderId="5" xfId="0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2" fontId="1" fillId="0" borderId="0" xfId="0" applyNumberFormat="1" applyFont="1" applyAlignment="1">
      <alignment horizontal="left"/>
    </xf>
    <xf numFmtId="0" fontId="0" fillId="0" borderId="19" xfId="0" applyBorder="1" applyAlignment="1">
      <alignment horizontal="center" vertical="center"/>
    </xf>
    <xf numFmtId="2" fontId="4" fillId="0" borderId="0" xfId="0" applyNumberFormat="1" applyFont="1" applyAlignment="1">
      <alignment horizontal="left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2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4" fillId="0" borderId="30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0" fillId="0" borderId="26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5" fillId="0" borderId="37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0" fillId="0" borderId="38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39" xfId="0" applyBorder="1" applyAlignment="1">
      <alignment horizontal="right"/>
    </xf>
    <xf numFmtId="0" fontId="0" fillId="0" borderId="3" xfId="0" applyBorder="1" applyAlignment="1">
      <alignment horizontal="right"/>
    </xf>
    <xf numFmtId="0" fontId="2" fillId="0" borderId="24" xfId="0" applyFont="1" applyBorder="1" applyAlignment="1">
      <alignment horizontal="center" wrapText="1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8" fillId="0" borderId="26" xfId="0" applyFont="1" applyBorder="1" applyAlignment="1">
      <alignment horizontal="center" wrapText="1"/>
    </xf>
    <xf numFmtId="0" fontId="8" fillId="0" borderId="30" xfId="0" applyFont="1" applyBorder="1" applyAlignment="1">
      <alignment horizontal="center" wrapText="1"/>
    </xf>
    <xf numFmtId="0" fontId="8" fillId="0" borderId="31" xfId="0" applyFont="1" applyBorder="1" applyAlignment="1">
      <alignment horizontal="center" wrapText="1"/>
    </xf>
    <xf numFmtId="0" fontId="20" fillId="0" borderId="32" xfId="0" applyFont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9" defaultPivotStyle="PivotStyleLight16"/>
  <colors>
    <mruColors>
      <color rgb="FF66FF66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175846</xdr:colOff>
      <xdr:row>37</xdr:row>
      <xdr:rowOff>87923</xdr:rowOff>
    </xdr:from>
    <xdr:to>
      <xdr:col>1</xdr:col>
      <xdr:colOff>681404</xdr:colOff>
      <xdr:row>40</xdr:row>
      <xdr:rowOff>71437</xdr:rowOff>
    </xdr:to>
    <xdr:sp macro="" textlink="">
      <xdr:nvSpPr>
        <xdr:cNvPr id="2" name="BlokTextu 1">
          <a:extLst>
            <a:ext uri="{FF2B5EF4-FFF2-40B4-BE49-F238E27FC236}">
              <a16:creationId xmlns:a16="http://schemas.microsoft.com/office/drawing/2014/main" id="{381E722F-F526-43F3-9470-4FACE91EE642}"/>
            </a:ext>
          </a:extLst>
        </xdr:cNvPr>
        <xdr:cNvSpPr txBox="1"/>
      </xdr:nvSpPr>
      <xdr:spPr>
        <a:xfrm>
          <a:off x="175846" y="7049111"/>
          <a:ext cx="1315183" cy="4597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/>
            <a:t>= (21+28+29+24+26)</a:t>
          </a:r>
          <a:r>
            <a:rPr lang="sk-SK" sz="900" baseline="0"/>
            <a:t> /   </a:t>
          </a:r>
        </a:p>
        <a:p>
          <a:r>
            <a:rPr lang="sk-SK" sz="900" baseline="0"/>
            <a:t>   (9+13+14+16+12)</a:t>
          </a:r>
          <a:endParaRPr lang="sk-SK" sz="900"/>
        </a:p>
      </xdr:txBody>
    </xdr:sp>
    <xdr:clientData/>
  </xdr:twoCellAnchor>
  <xdr:twoCellAnchor>
    <xdr:from>
      <xdr:col>0</xdr:col>
      <xdr:colOff>556846</xdr:colOff>
      <xdr:row>35</xdr:row>
      <xdr:rowOff>73269</xdr:rowOff>
    </xdr:from>
    <xdr:to>
      <xdr:col>1</xdr:col>
      <xdr:colOff>205154</xdr:colOff>
      <xdr:row>37</xdr:row>
      <xdr:rowOff>29307</xdr:rowOff>
    </xdr:to>
    <xdr:cxnSp macro="">
      <xdr:nvCxnSpPr>
        <xdr:cNvPr id="4" name="Rovná spojovacia šípka 3">
          <a:extLst>
            <a:ext uri="{FF2B5EF4-FFF2-40B4-BE49-F238E27FC236}">
              <a16:creationId xmlns:a16="http://schemas.microsoft.com/office/drawing/2014/main" id="{F2A2F295-0DF6-46F1-BFC0-EEBCF224F534}"/>
            </a:ext>
          </a:extLst>
        </xdr:cNvPr>
        <xdr:cNvCxnSpPr/>
      </xdr:nvCxnSpPr>
      <xdr:spPr>
        <a:xfrm flipV="1">
          <a:off x="556846" y="6550269"/>
          <a:ext cx="461596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630117</xdr:colOff>
      <xdr:row>34</xdr:row>
      <xdr:rowOff>80596</xdr:rowOff>
    </xdr:from>
    <xdr:to>
      <xdr:col>2</xdr:col>
      <xdr:colOff>43961</xdr:colOff>
      <xdr:row>40</xdr:row>
      <xdr:rowOff>131885</xdr:rowOff>
    </xdr:to>
    <xdr:cxnSp macro="">
      <xdr:nvCxnSpPr>
        <xdr:cNvPr id="6" name="Rovná spojovacia šípka 5">
          <a:extLst>
            <a:ext uri="{FF2B5EF4-FFF2-40B4-BE49-F238E27FC236}">
              <a16:creationId xmlns:a16="http://schemas.microsoft.com/office/drawing/2014/main" id="{90D00E15-F0F2-4993-9AC2-F28C126E123D}"/>
            </a:ext>
          </a:extLst>
        </xdr:cNvPr>
        <xdr:cNvCxnSpPr/>
      </xdr:nvCxnSpPr>
      <xdr:spPr>
        <a:xfrm flipH="1" flipV="1">
          <a:off x="1443405" y="6396404"/>
          <a:ext cx="227133" cy="102576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161192</xdr:colOff>
      <xdr:row>40</xdr:row>
      <xdr:rowOff>146539</xdr:rowOff>
    </xdr:from>
    <xdr:to>
      <xdr:col>2</xdr:col>
      <xdr:colOff>402980</xdr:colOff>
      <xdr:row>44</xdr:row>
      <xdr:rowOff>7937</xdr:rowOff>
    </xdr:to>
    <xdr:sp macro="" textlink="">
      <xdr:nvSpPr>
        <xdr:cNvPr id="8" name="BlokTextu 7">
          <a:extLst>
            <a:ext uri="{FF2B5EF4-FFF2-40B4-BE49-F238E27FC236}">
              <a16:creationId xmlns:a16="http://schemas.microsoft.com/office/drawing/2014/main" id="{7094CB4D-8334-4071-8D7F-94E633BF4C98}"/>
            </a:ext>
          </a:extLst>
        </xdr:cNvPr>
        <xdr:cNvSpPr txBox="1"/>
      </xdr:nvSpPr>
      <xdr:spPr>
        <a:xfrm>
          <a:off x="970817" y="7583977"/>
          <a:ext cx="1051413" cy="4963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/>
            <a:t>= (31+36+44+42)</a:t>
          </a:r>
          <a:r>
            <a:rPr lang="sk-SK" sz="900" baseline="0"/>
            <a:t> / </a:t>
          </a:r>
          <a:endParaRPr lang="sk-SK" sz="900"/>
        </a:p>
        <a:p>
          <a:r>
            <a:rPr lang="sk-SK" sz="900"/>
            <a:t>   (21+28+29+24)</a:t>
          </a:r>
        </a:p>
      </xdr:txBody>
    </xdr:sp>
    <xdr:clientData/>
  </xdr:twoCellAnchor>
  <xdr:twoCellAnchor>
    <xdr:from>
      <xdr:col>1</xdr:col>
      <xdr:colOff>622790</xdr:colOff>
      <xdr:row>33</xdr:row>
      <xdr:rowOff>51289</xdr:rowOff>
    </xdr:from>
    <xdr:to>
      <xdr:col>2</xdr:col>
      <xdr:colOff>512885</xdr:colOff>
      <xdr:row>41</xdr:row>
      <xdr:rowOff>0</xdr:rowOff>
    </xdr:to>
    <xdr:cxnSp macro="">
      <xdr:nvCxnSpPr>
        <xdr:cNvPr id="10" name="Rovná spojovacia šípka 9">
          <a:extLst>
            <a:ext uri="{FF2B5EF4-FFF2-40B4-BE49-F238E27FC236}">
              <a16:creationId xmlns:a16="http://schemas.microsoft.com/office/drawing/2014/main" id="{80DAD8EA-DDF7-43FA-8D4C-D384A498D9C5}"/>
            </a:ext>
          </a:extLst>
        </xdr:cNvPr>
        <xdr:cNvCxnSpPr/>
      </xdr:nvCxnSpPr>
      <xdr:spPr>
        <a:xfrm flipH="1" flipV="1">
          <a:off x="1436078" y="6205904"/>
          <a:ext cx="703384" cy="124557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498231</xdr:colOff>
      <xdr:row>40</xdr:row>
      <xdr:rowOff>139211</xdr:rowOff>
    </xdr:from>
    <xdr:to>
      <xdr:col>3</xdr:col>
      <xdr:colOff>586154</xdr:colOff>
      <xdr:row>43</xdr:row>
      <xdr:rowOff>142874</xdr:rowOff>
    </xdr:to>
    <xdr:sp macro="" textlink="">
      <xdr:nvSpPr>
        <xdr:cNvPr id="11" name="BlokTextu 10">
          <a:extLst>
            <a:ext uri="{FF2B5EF4-FFF2-40B4-BE49-F238E27FC236}">
              <a16:creationId xmlns:a16="http://schemas.microsoft.com/office/drawing/2014/main" id="{82C9CCA2-6EA9-4E13-B1C7-C2704F8313AB}"/>
            </a:ext>
          </a:extLst>
        </xdr:cNvPr>
        <xdr:cNvSpPr txBox="1"/>
      </xdr:nvSpPr>
      <xdr:spPr>
        <a:xfrm>
          <a:off x="2117481" y="7576649"/>
          <a:ext cx="897548" cy="4799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/>
            <a:t>=  (42+46+60) /</a:t>
          </a:r>
        </a:p>
        <a:p>
          <a:r>
            <a:rPr lang="sk-SK" sz="900"/>
            <a:t>    </a:t>
          </a:r>
          <a:r>
            <a:rPr lang="sk-SK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(31+36+44)</a:t>
          </a:r>
          <a:r>
            <a:rPr lang="sk-SK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sk-SK" sz="900" baseline="0"/>
        </a:p>
      </xdr:txBody>
    </xdr:sp>
    <xdr:clientData/>
  </xdr:twoCellAnchor>
  <xdr:twoCellAnchor>
    <xdr:from>
      <xdr:col>1</xdr:col>
      <xdr:colOff>615462</xdr:colOff>
      <xdr:row>32</xdr:row>
      <xdr:rowOff>87923</xdr:rowOff>
    </xdr:from>
    <xdr:to>
      <xdr:col>2</xdr:col>
      <xdr:colOff>710711</xdr:colOff>
      <xdr:row>38</xdr:row>
      <xdr:rowOff>139211</xdr:rowOff>
    </xdr:to>
    <xdr:cxnSp macro="">
      <xdr:nvCxnSpPr>
        <xdr:cNvPr id="15" name="Rovná spojovacia šípka 14">
          <a:extLst>
            <a:ext uri="{FF2B5EF4-FFF2-40B4-BE49-F238E27FC236}">
              <a16:creationId xmlns:a16="http://schemas.microsoft.com/office/drawing/2014/main" id="{3F1D459B-551C-4F17-83FF-B8A3A650F90B}"/>
            </a:ext>
          </a:extLst>
        </xdr:cNvPr>
        <xdr:cNvCxnSpPr/>
      </xdr:nvCxnSpPr>
      <xdr:spPr>
        <a:xfrm flipH="1" flipV="1">
          <a:off x="1428750" y="6081346"/>
          <a:ext cx="908538" cy="102576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725976</xdr:colOff>
      <xdr:row>37</xdr:row>
      <xdr:rowOff>59226</xdr:rowOff>
    </xdr:from>
    <xdr:to>
      <xdr:col>3</xdr:col>
      <xdr:colOff>660035</xdr:colOff>
      <xdr:row>40</xdr:row>
      <xdr:rowOff>39688</xdr:rowOff>
    </xdr:to>
    <xdr:sp macro="" textlink="">
      <xdr:nvSpPr>
        <xdr:cNvPr id="16" name="BlokTextu 15">
          <a:extLst>
            <a:ext uri="{FF2B5EF4-FFF2-40B4-BE49-F238E27FC236}">
              <a16:creationId xmlns:a16="http://schemas.microsoft.com/office/drawing/2014/main" id="{1F174611-2AC4-4767-9322-D1E7EC957B98}"/>
            </a:ext>
          </a:extLst>
        </xdr:cNvPr>
        <xdr:cNvSpPr txBox="1"/>
      </xdr:nvSpPr>
      <xdr:spPr>
        <a:xfrm>
          <a:off x="2345226" y="7020414"/>
          <a:ext cx="743684" cy="4567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/>
            <a:t>=  (50+60) /</a:t>
          </a:r>
        </a:p>
        <a:p>
          <a:r>
            <a:rPr lang="sk-SK" sz="900"/>
            <a:t>    (42+46)</a:t>
          </a:r>
        </a:p>
      </xdr:txBody>
    </xdr:sp>
    <xdr:clientData/>
  </xdr:twoCellAnchor>
  <xdr:twoCellAnchor>
    <xdr:from>
      <xdr:col>2</xdr:col>
      <xdr:colOff>637442</xdr:colOff>
      <xdr:row>31</xdr:row>
      <xdr:rowOff>51288</xdr:rowOff>
    </xdr:from>
    <xdr:to>
      <xdr:col>4</xdr:col>
      <xdr:colOff>637442</xdr:colOff>
      <xdr:row>32</xdr:row>
      <xdr:rowOff>109904</xdr:rowOff>
    </xdr:to>
    <xdr:cxnSp macro="">
      <xdr:nvCxnSpPr>
        <xdr:cNvPr id="18" name="Rovná spojovacia šípka 17">
          <a:extLst>
            <a:ext uri="{FF2B5EF4-FFF2-40B4-BE49-F238E27FC236}">
              <a16:creationId xmlns:a16="http://schemas.microsoft.com/office/drawing/2014/main" id="{69AC1960-606E-4F56-94B5-E0E2DB0D36C2}"/>
            </a:ext>
          </a:extLst>
        </xdr:cNvPr>
        <xdr:cNvCxnSpPr/>
      </xdr:nvCxnSpPr>
      <xdr:spPr>
        <a:xfrm flipH="1">
          <a:off x="2264019" y="5883519"/>
          <a:ext cx="1626577" cy="2198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644769</xdr:colOff>
      <xdr:row>30</xdr:row>
      <xdr:rowOff>58615</xdr:rowOff>
    </xdr:from>
    <xdr:to>
      <xdr:col>5</xdr:col>
      <xdr:colOff>754673</xdr:colOff>
      <xdr:row>31</xdr:row>
      <xdr:rowOff>87923</xdr:rowOff>
    </xdr:to>
    <xdr:sp macro="" textlink="">
      <xdr:nvSpPr>
        <xdr:cNvPr id="19" name="BlokTextu 18">
          <a:extLst>
            <a:ext uri="{FF2B5EF4-FFF2-40B4-BE49-F238E27FC236}">
              <a16:creationId xmlns:a16="http://schemas.microsoft.com/office/drawing/2014/main" id="{195EB4E8-5118-4087-A502-54234E05BD4D}"/>
            </a:ext>
          </a:extLst>
        </xdr:cNvPr>
        <xdr:cNvSpPr txBox="1"/>
      </xdr:nvSpPr>
      <xdr:spPr>
        <a:xfrm>
          <a:off x="3897923" y="5722327"/>
          <a:ext cx="923192" cy="1978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/>
            <a:t>= 1,000</a:t>
          </a:r>
          <a:r>
            <a:rPr lang="sk-SK" sz="900" baseline="0"/>
            <a:t> x 1,250</a:t>
          </a:r>
        </a:p>
      </xdr:txBody>
    </xdr:sp>
    <xdr:clientData/>
  </xdr:twoCellAnchor>
  <xdr:twoCellAnchor>
    <xdr:from>
      <xdr:col>4</xdr:col>
      <xdr:colOff>652094</xdr:colOff>
      <xdr:row>32</xdr:row>
      <xdr:rowOff>7327</xdr:rowOff>
    </xdr:from>
    <xdr:to>
      <xdr:col>6</xdr:col>
      <xdr:colOff>402980</xdr:colOff>
      <xdr:row>33</xdr:row>
      <xdr:rowOff>43962</xdr:rowOff>
    </xdr:to>
    <xdr:sp macro="" textlink="">
      <xdr:nvSpPr>
        <xdr:cNvPr id="20" name="BlokTextu 19">
          <a:extLst>
            <a:ext uri="{FF2B5EF4-FFF2-40B4-BE49-F238E27FC236}">
              <a16:creationId xmlns:a16="http://schemas.microsoft.com/office/drawing/2014/main" id="{79A58CC5-5389-48B8-A99D-95E236DA168D}"/>
            </a:ext>
          </a:extLst>
        </xdr:cNvPr>
        <xdr:cNvSpPr txBox="1"/>
      </xdr:nvSpPr>
      <xdr:spPr>
        <a:xfrm>
          <a:off x="3905248" y="6000750"/>
          <a:ext cx="1377463" cy="1978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/>
            <a:t>= 1,000</a:t>
          </a:r>
          <a:r>
            <a:rPr lang="sk-SK" sz="900" baseline="0"/>
            <a:t> x 1,250 x 1,333</a:t>
          </a:r>
        </a:p>
      </xdr:txBody>
    </xdr:sp>
    <xdr:clientData/>
  </xdr:twoCellAnchor>
  <xdr:twoCellAnchor>
    <xdr:from>
      <xdr:col>2</xdr:col>
      <xdr:colOff>600809</xdr:colOff>
      <xdr:row>32</xdr:row>
      <xdr:rowOff>106241</xdr:rowOff>
    </xdr:from>
    <xdr:to>
      <xdr:col>4</xdr:col>
      <xdr:colOff>652094</xdr:colOff>
      <xdr:row>33</xdr:row>
      <xdr:rowOff>95251</xdr:rowOff>
    </xdr:to>
    <xdr:cxnSp macro="">
      <xdr:nvCxnSpPr>
        <xdr:cNvPr id="21" name="Rovná spojovacia šípka 20">
          <a:extLst>
            <a:ext uri="{FF2B5EF4-FFF2-40B4-BE49-F238E27FC236}">
              <a16:creationId xmlns:a16="http://schemas.microsoft.com/office/drawing/2014/main" id="{2BEEC746-7DF1-4FE6-B50C-430FDBB2E140}"/>
            </a:ext>
          </a:extLst>
        </xdr:cNvPr>
        <xdr:cNvCxnSpPr>
          <a:stCxn id="20" idx="1"/>
        </xdr:cNvCxnSpPr>
      </xdr:nvCxnSpPr>
      <xdr:spPr>
        <a:xfrm flipH="1">
          <a:off x="2227386" y="6099664"/>
          <a:ext cx="1677862" cy="1502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652096</xdr:colOff>
      <xdr:row>33</xdr:row>
      <xdr:rowOff>117231</xdr:rowOff>
    </xdr:from>
    <xdr:to>
      <xdr:col>6</xdr:col>
      <xdr:colOff>805961</xdr:colOff>
      <xdr:row>34</xdr:row>
      <xdr:rowOff>153865</xdr:rowOff>
    </xdr:to>
    <xdr:sp macro="" textlink="">
      <xdr:nvSpPr>
        <xdr:cNvPr id="23" name="BlokTextu 22">
          <a:extLst>
            <a:ext uri="{FF2B5EF4-FFF2-40B4-BE49-F238E27FC236}">
              <a16:creationId xmlns:a16="http://schemas.microsoft.com/office/drawing/2014/main" id="{4A409BDE-E70D-4752-A789-EB1A5CF6311F}"/>
            </a:ext>
          </a:extLst>
        </xdr:cNvPr>
        <xdr:cNvSpPr txBox="1"/>
      </xdr:nvSpPr>
      <xdr:spPr>
        <a:xfrm>
          <a:off x="3905250" y="6271846"/>
          <a:ext cx="1780442" cy="1978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/>
            <a:t>= 1,000</a:t>
          </a:r>
          <a:r>
            <a:rPr lang="sk-SK" sz="900" baseline="0"/>
            <a:t> x 1,250 x 1,333 x 1,500</a:t>
          </a:r>
        </a:p>
      </xdr:txBody>
    </xdr:sp>
    <xdr:clientData/>
  </xdr:twoCellAnchor>
  <xdr:twoCellAnchor>
    <xdr:from>
      <xdr:col>2</xdr:col>
      <xdr:colOff>577363</xdr:colOff>
      <xdr:row>34</xdr:row>
      <xdr:rowOff>54952</xdr:rowOff>
    </xdr:from>
    <xdr:to>
      <xdr:col>4</xdr:col>
      <xdr:colOff>652096</xdr:colOff>
      <xdr:row>34</xdr:row>
      <xdr:rowOff>101112</xdr:rowOff>
    </xdr:to>
    <xdr:cxnSp macro="">
      <xdr:nvCxnSpPr>
        <xdr:cNvPr id="24" name="Rovná spojovacia šípka 23">
          <a:extLst>
            <a:ext uri="{FF2B5EF4-FFF2-40B4-BE49-F238E27FC236}">
              <a16:creationId xmlns:a16="http://schemas.microsoft.com/office/drawing/2014/main" id="{8B099F1C-A7BF-4C05-9E33-F0586652F5BF}"/>
            </a:ext>
          </a:extLst>
        </xdr:cNvPr>
        <xdr:cNvCxnSpPr>
          <a:stCxn id="23" idx="1"/>
        </xdr:cNvCxnSpPr>
      </xdr:nvCxnSpPr>
      <xdr:spPr>
        <a:xfrm flipH="1">
          <a:off x="2203940" y="6370760"/>
          <a:ext cx="1701310" cy="46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401515</xdr:colOff>
      <xdr:row>36</xdr:row>
      <xdr:rowOff>27842</xdr:rowOff>
    </xdr:from>
    <xdr:to>
      <xdr:col>7</xdr:col>
      <xdr:colOff>0</xdr:colOff>
      <xdr:row>37</xdr:row>
      <xdr:rowOff>64476</xdr:rowOff>
    </xdr:to>
    <xdr:sp macro="" textlink="">
      <xdr:nvSpPr>
        <xdr:cNvPr id="26" name="BlokTextu 25">
          <a:extLst>
            <a:ext uri="{FF2B5EF4-FFF2-40B4-BE49-F238E27FC236}">
              <a16:creationId xmlns:a16="http://schemas.microsoft.com/office/drawing/2014/main" id="{5D3F7CAB-83C3-4ABA-ADC4-B4CC35A3D99E}"/>
            </a:ext>
          </a:extLst>
        </xdr:cNvPr>
        <xdr:cNvSpPr txBox="1"/>
      </xdr:nvSpPr>
      <xdr:spPr>
        <a:xfrm>
          <a:off x="3654669" y="6673361"/>
          <a:ext cx="2082312" cy="1978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/>
            <a:t>= 1,000</a:t>
          </a:r>
          <a:r>
            <a:rPr lang="sk-SK" sz="900" baseline="0"/>
            <a:t> x 1,250 x 1,333 x 1,500 x 2,000</a:t>
          </a:r>
        </a:p>
      </xdr:txBody>
    </xdr:sp>
    <xdr:clientData/>
  </xdr:twoCellAnchor>
  <xdr:twoCellAnchor>
    <xdr:from>
      <xdr:col>2</xdr:col>
      <xdr:colOff>571502</xdr:colOff>
      <xdr:row>35</xdr:row>
      <xdr:rowOff>97449</xdr:rowOff>
    </xdr:from>
    <xdr:to>
      <xdr:col>4</xdr:col>
      <xdr:colOff>401515</xdr:colOff>
      <xdr:row>36</xdr:row>
      <xdr:rowOff>126756</xdr:rowOff>
    </xdr:to>
    <xdr:cxnSp macro="">
      <xdr:nvCxnSpPr>
        <xdr:cNvPr id="27" name="Rovná spojovacia šípka 26">
          <a:extLst>
            <a:ext uri="{FF2B5EF4-FFF2-40B4-BE49-F238E27FC236}">
              <a16:creationId xmlns:a16="http://schemas.microsoft.com/office/drawing/2014/main" id="{B6EAC457-1F4A-4F95-8C19-01BF1BA28902}"/>
            </a:ext>
          </a:extLst>
        </xdr:cNvPr>
        <xdr:cNvCxnSpPr>
          <a:stCxn id="26" idx="1"/>
        </xdr:cNvCxnSpPr>
      </xdr:nvCxnSpPr>
      <xdr:spPr>
        <a:xfrm flipH="1" flipV="1">
          <a:off x="2198079" y="6574449"/>
          <a:ext cx="1456590" cy="1978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0</xdr:col>
      <xdr:colOff>454269</xdr:colOff>
      <xdr:row>54</xdr:row>
      <xdr:rowOff>115765</xdr:rowOff>
    </xdr:from>
    <xdr:to>
      <xdr:col>2</xdr:col>
      <xdr:colOff>276957</xdr:colOff>
      <xdr:row>56</xdr:row>
      <xdr:rowOff>73269</xdr:rowOff>
    </xdr:to>
    <xdr:cxnSp macro="">
      <xdr:nvCxnSpPr>
        <xdr:cNvPr id="34" name="Rovná spojovacia šípka 33">
          <a:extLst>
            <a:ext uri="{FF2B5EF4-FFF2-40B4-BE49-F238E27FC236}">
              <a16:creationId xmlns:a16="http://schemas.microsoft.com/office/drawing/2014/main" id="{5DD4A04A-18F5-4452-8B0E-59363CD9115B}"/>
            </a:ext>
          </a:extLst>
        </xdr:cNvPr>
        <xdr:cNvCxnSpPr/>
      </xdr:nvCxnSpPr>
      <xdr:spPr>
        <a:xfrm flipV="1">
          <a:off x="454269" y="11208727"/>
          <a:ext cx="1449265" cy="28721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124557</xdr:colOff>
      <xdr:row>56</xdr:row>
      <xdr:rowOff>80597</xdr:rowOff>
    </xdr:from>
    <xdr:to>
      <xdr:col>1</xdr:col>
      <xdr:colOff>212481</xdr:colOff>
      <xdr:row>57</xdr:row>
      <xdr:rowOff>124559</xdr:rowOff>
    </xdr:to>
    <xdr:sp macro="" textlink="">
      <xdr:nvSpPr>
        <xdr:cNvPr id="36" name="BlokTextu 35">
          <a:extLst>
            <a:ext uri="{FF2B5EF4-FFF2-40B4-BE49-F238E27FC236}">
              <a16:creationId xmlns:a16="http://schemas.microsoft.com/office/drawing/2014/main" id="{1955955D-E6D1-481F-B164-C52CA8668DF0}"/>
            </a:ext>
          </a:extLst>
        </xdr:cNvPr>
        <xdr:cNvSpPr txBox="1"/>
      </xdr:nvSpPr>
      <xdr:spPr>
        <a:xfrm>
          <a:off x="124557" y="11503270"/>
          <a:ext cx="901212" cy="2051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/>
            <a:t>22 = 11</a:t>
          </a:r>
          <a:r>
            <a:rPr lang="sk-SK" sz="900" baseline="0"/>
            <a:t> x 2,000</a:t>
          </a:r>
          <a:endParaRPr lang="sk-SK" sz="900"/>
        </a:p>
      </xdr:txBody>
    </xdr:sp>
    <xdr:clientData/>
  </xdr:twoCellAnchor>
  <xdr:twoCellAnchor>
    <xdr:from>
      <xdr:col>1</xdr:col>
      <xdr:colOff>681404</xdr:colOff>
      <xdr:row>54</xdr:row>
      <xdr:rowOff>121627</xdr:rowOff>
    </xdr:from>
    <xdr:to>
      <xdr:col>3</xdr:col>
      <xdr:colOff>202223</xdr:colOff>
      <xdr:row>56</xdr:row>
      <xdr:rowOff>87923</xdr:rowOff>
    </xdr:to>
    <xdr:cxnSp macro="">
      <xdr:nvCxnSpPr>
        <xdr:cNvPr id="37" name="Rovná spojovacia šípka 36">
          <a:extLst>
            <a:ext uri="{FF2B5EF4-FFF2-40B4-BE49-F238E27FC236}">
              <a16:creationId xmlns:a16="http://schemas.microsoft.com/office/drawing/2014/main" id="{01FDCEEC-6148-4CCD-8FEE-0106CC229884}"/>
            </a:ext>
          </a:extLst>
        </xdr:cNvPr>
        <xdr:cNvCxnSpPr>
          <a:stCxn id="39" idx="0"/>
        </xdr:cNvCxnSpPr>
      </xdr:nvCxnSpPr>
      <xdr:spPr>
        <a:xfrm flipV="1">
          <a:off x="1494692" y="11214589"/>
          <a:ext cx="1147396" cy="2960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278423</xdr:colOff>
      <xdr:row>56</xdr:row>
      <xdr:rowOff>87923</xdr:rowOff>
    </xdr:from>
    <xdr:to>
      <xdr:col>2</xdr:col>
      <xdr:colOff>271096</xdr:colOff>
      <xdr:row>57</xdr:row>
      <xdr:rowOff>131885</xdr:rowOff>
    </xdr:to>
    <xdr:sp macro="" textlink="">
      <xdr:nvSpPr>
        <xdr:cNvPr id="39" name="BlokTextu 38">
          <a:extLst>
            <a:ext uri="{FF2B5EF4-FFF2-40B4-BE49-F238E27FC236}">
              <a16:creationId xmlns:a16="http://schemas.microsoft.com/office/drawing/2014/main" id="{D13AB9C3-9B21-4633-AA5C-BDD25CAAC88F}"/>
            </a:ext>
          </a:extLst>
        </xdr:cNvPr>
        <xdr:cNvSpPr txBox="1"/>
      </xdr:nvSpPr>
      <xdr:spPr>
        <a:xfrm>
          <a:off x="1088048" y="10224111"/>
          <a:ext cx="802298" cy="2027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/>
            <a:t>=  22</a:t>
          </a:r>
          <a:r>
            <a:rPr lang="sk-SK" sz="900" baseline="0"/>
            <a:t> x 1,500</a:t>
          </a:r>
          <a:endParaRPr lang="sk-SK" sz="900"/>
        </a:p>
      </xdr:txBody>
    </xdr:sp>
    <xdr:clientData/>
  </xdr:twoCellAnchor>
  <xdr:twoCellAnchor>
    <xdr:from>
      <xdr:col>2</xdr:col>
      <xdr:colOff>424961</xdr:colOff>
      <xdr:row>56</xdr:row>
      <xdr:rowOff>95250</xdr:rowOff>
    </xdr:from>
    <xdr:to>
      <xdr:col>3</xdr:col>
      <xdr:colOff>359020</xdr:colOff>
      <xdr:row>57</xdr:row>
      <xdr:rowOff>139212</xdr:rowOff>
    </xdr:to>
    <xdr:sp macro="" textlink="">
      <xdr:nvSpPr>
        <xdr:cNvPr id="41" name="BlokTextu 40">
          <a:extLst>
            <a:ext uri="{FF2B5EF4-FFF2-40B4-BE49-F238E27FC236}">
              <a16:creationId xmlns:a16="http://schemas.microsoft.com/office/drawing/2014/main" id="{8FE3F26F-507C-46D4-B07B-EA71E370364C}"/>
            </a:ext>
          </a:extLst>
        </xdr:cNvPr>
        <xdr:cNvSpPr txBox="1"/>
      </xdr:nvSpPr>
      <xdr:spPr>
        <a:xfrm>
          <a:off x="2051538" y="11517923"/>
          <a:ext cx="747347" cy="2051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/>
            <a:t>= 33</a:t>
          </a:r>
          <a:r>
            <a:rPr lang="sk-SK" sz="900" baseline="0"/>
            <a:t> x 1,333</a:t>
          </a:r>
          <a:endParaRPr lang="sk-SK" sz="900"/>
        </a:p>
      </xdr:txBody>
    </xdr:sp>
    <xdr:clientData/>
  </xdr:twoCellAnchor>
  <xdr:twoCellAnchor>
    <xdr:from>
      <xdr:col>3</xdr:col>
      <xdr:colOff>504092</xdr:colOff>
      <xdr:row>56</xdr:row>
      <xdr:rowOff>93785</xdr:rowOff>
    </xdr:from>
    <xdr:to>
      <xdr:col>4</xdr:col>
      <xdr:colOff>496765</xdr:colOff>
      <xdr:row>57</xdr:row>
      <xdr:rowOff>137747</xdr:rowOff>
    </xdr:to>
    <xdr:sp macro="" textlink="">
      <xdr:nvSpPr>
        <xdr:cNvPr id="42" name="BlokTextu 41">
          <a:extLst>
            <a:ext uri="{FF2B5EF4-FFF2-40B4-BE49-F238E27FC236}">
              <a16:creationId xmlns:a16="http://schemas.microsoft.com/office/drawing/2014/main" id="{D57C95B5-AA01-473F-85E1-987F252A1B0F}"/>
            </a:ext>
          </a:extLst>
        </xdr:cNvPr>
        <xdr:cNvSpPr txBox="1"/>
      </xdr:nvSpPr>
      <xdr:spPr>
        <a:xfrm>
          <a:off x="2943957" y="11516458"/>
          <a:ext cx="805962" cy="2051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/>
            <a:t>=  44</a:t>
          </a:r>
          <a:r>
            <a:rPr lang="sk-SK" sz="900" baseline="0"/>
            <a:t> x 1,250</a:t>
          </a:r>
          <a:endParaRPr lang="sk-SK" sz="900"/>
        </a:p>
      </xdr:txBody>
    </xdr:sp>
    <xdr:clientData/>
  </xdr:twoCellAnchor>
  <xdr:twoCellAnchor>
    <xdr:from>
      <xdr:col>4</xdr:col>
      <xdr:colOff>593480</xdr:colOff>
      <xdr:row>57</xdr:row>
      <xdr:rowOff>109904</xdr:rowOff>
    </xdr:from>
    <xdr:to>
      <xdr:col>5</xdr:col>
      <xdr:colOff>586154</xdr:colOff>
      <xdr:row>58</xdr:row>
      <xdr:rowOff>153865</xdr:rowOff>
    </xdr:to>
    <xdr:sp macro="" textlink="">
      <xdr:nvSpPr>
        <xdr:cNvPr id="43" name="BlokTextu 42">
          <a:extLst>
            <a:ext uri="{FF2B5EF4-FFF2-40B4-BE49-F238E27FC236}">
              <a16:creationId xmlns:a16="http://schemas.microsoft.com/office/drawing/2014/main" id="{BF78C909-2060-4DD8-9D76-612878FC6CAE}"/>
            </a:ext>
          </a:extLst>
        </xdr:cNvPr>
        <xdr:cNvSpPr txBox="1"/>
      </xdr:nvSpPr>
      <xdr:spPr>
        <a:xfrm>
          <a:off x="3846634" y="11693769"/>
          <a:ext cx="805962" cy="2051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/>
            <a:t>=  55</a:t>
          </a:r>
          <a:r>
            <a:rPr lang="sk-SK" sz="900" baseline="0"/>
            <a:t> x 1,000</a:t>
          </a:r>
          <a:endParaRPr lang="sk-SK" sz="900"/>
        </a:p>
      </xdr:txBody>
    </xdr:sp>
    <xdr:clientData/>
  </xdr:twoCellAnchor>
  <xdr:twoCellAnchor>
    <xdr:from>
      <xdr:col>2</xdr:col>
      <xdr:colOff>745881</xdr:colOff>
      <xdr:row>54</xdr:row>
      <xdr:rowOff>120161</xdr:rowOff>
    </xdr:from>
    <xdr:to>
      <xdr:col>4</xdr:col>
      <xdr:colOff>266700</xdr:colOff>
      <xdr:row>56</xdr:row>
      <xdr:rowOff>86457</xdr:rowOff>
    </xdr:to>
    <xdr:cxnSp macro="">
      <xdr:nvCxnSpPr>
        <xdr:cNvPr id="44" name="Rovná spojovacia šípka 43">
          <a:extLst>
            <a:ext uri="{FF2B5EF4-FFF2-40B4-BE49-F238E27FC236}">
              <a16:creationId xmlns:a16="http://schemas.microsoft.com/office/drawing/2014/main" id="{9F7D890A-2623-4DE8-9A16-80F4D8E9CE35}"/>
            </a:ext>
          </a:extLst>
        </xdr:cNvPr>
        <xdr:cNvCxnSpPr/>
      </xdr:nvCxnSpPr>
      <xdr:spPr>
        <a:xfrm flipV="1">
          <a:off x="2372458" y="11213123"/>
          <a:ext cx="1147396" cy="2960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737089</xdr:colOff>
      <xdr:row>54</xdr:row>
      <xdr:rowOff>133350</xdr:rowOff>
    </xdr:from>
    <xdr:to>
      <xdr:col>5</xdr:col>
      <xdr:colOff>257908</xdr:colOff>
      <xdr:row>56</xdr:row>
      <xdr:rowOff>99646</xdr:rowOff>
    </xdr:to>
    <xdr:cxnSp macro="">
      <xdr:nvCxnSpPr>
        <xdr:cNvPr id="45" name="Rovná spojovacia šípka 44">
          <a:extLst>
            <a:ext uri="{FF2B5EF4-FFF2-40B4-BE49-F238E27FC236}">
              <a16:creationId xmlns:a16="http://schemas.microsoft.com/office/drawing/2014/main" id="{CF228A27-4A60-4FA8-929E-498D6920CE18}"/>
            </a:ext>
          </a:extLst>
        </xdr:cNvPr>
        <xdr:cNvCxnSpPr/>
      </xdr:nvCxnSpPr>
      <xdr:spPr>
        <a:xfrm flipV="1">
          <a:off x="3176954" y="11226312"/>
          <a:ext cx="1147396" cy="2960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329712</xdr:colOff>
      <xdr:row>54</xdr:row>
      <xdr:rowOff>87923</xdr:rowOff>
    </xdr:from>
    <xdr:to>
      <xdr:col>6</xdr:col>
      <xdr:colOff>300404</xdr:colOff>
      <xdr:row>57</xdr:row>
      <xdr:rowOff>102578</xdr:rowOff>
    </xdr:to>
    <xdr:cxnSp macro="">
      <xdr:nvCxnSpPr>
        <xdr:cNvPr id="46" name="Rovná spojovacia šípka 45">
          <a:extLst>
            <a:ext uri="{FF2B5EF4-FFF2-40B4-BE49-F238E27FC236}">
              <a16:creationId xmlns:a16="http://schemas.microsoft.com/office/drawing/2014/main" id="{204A15A0-C53E-4762-8E13-897D4B9C8F5A}"/>
            </a:ext>
          </a:extLst>
        </xdr:cNvPr>
        <xdr:cNvCxnSpPr/>
      </xdr:nvCxnSpPr>
      <xdr:spPr>
        <a:xfrm flipV="1">
          <a:off x="4396154" y="11180885"/>
          <a:ext cx="783981" cy="5055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124557</xdr:colOff>
      <xdr:row>55</xdr:row>
      <xdr:rowOff>139211</xdr:rowOff>
    </xdr:from>
    <xdr:to>
      <xdr:col>6</xdr:col>
      <xdr:colOff>322384</xdr:colOff>
      <xdr:row>58</xdr:row>
      <xdr:rowOff>124557</xdr:rowOff>
    </xdr:to>
    <xdr:cxnSp macro="">
      <xdr:nvCxnSpPr>
        <xdr:cNvPr id="50" name="Rovná spojovacia šípka 49">
          <a:extLst>
            <a:ext uri="{FF2B5EF4-FFF2-40B4-BE49-F238E27FC236}">
              <a16:creationId xmlns:a16="http://schemas.microsoft.com/office/drawing/2014/main" id="{BFCCCC9E-904C-489B-A96E-2719034F41E2}"/>
            </a:ext>
          </a:extLst>
        </xdr:cNvPr>
        <xdr:cNvCxnSpPr/>
      </xdr:nvCxnSpPr>
      <xdr:spPr>
        <a:xfrm flipV="1">
          <a:off x="5004288" y="11400692"/>
          <a:ext cx="197827" cy="4689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710711</xdr:colOff>
      <xdr:row>58</xdr:row>
      <xdr:rowOff>139211</xdr:rowOff>
    </xdr:from>
    <xdr:to>
      <xdr:col>6</xdr:col>
      <xdr:colOff>776654</xdr:colOff>
      <xdr:row>64</xdr:row>
      <xdr:rowOff>124557</xdr:rowOff>
    </xdr:to>
    <xdr:sp macro="" textlink="">
      <xdr:nvSpPr>
        <xdr:cNvPr id="51" name="BlokTextu 50">
          <a:extLst>
            <a:ext uri="{FF2B5EF4-FFF2-40B4-BE49-F238E27FC236}">
              <a16:creationId xmlns:a16="http://schemas.microsoft.com/office/drawing/2014/main" id="{9E477F58-1946-4A5A-84BB-1AFC18F6938C}"/>
            </a:ext>
          </a:extLst>
        </xdr:cNvPr>
        <xdr:cNvSpPr txBox="1"/>
      </xdr:nvSpPr>
      <xdr:spPr>
        <a:xfrm>
          <a:off x="4777153" y="11884269"/>
          <a:ext cx="879232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/>
            <a:t>suma kumulatívnych</a:t>
          </a:r>
          <a:r>
            <a:rPr lang="sk-SK" sz="900" baseline="0"/>
            <a:t> poistných plnení v 5. vývojovom roku</a:t>
          </a:r>
          <a:endParaRPr lang="sk-SK" sz="900"/>
        </a:p>
      </xdr:txBody>
    </xdr:sp>
    <xdr:clientData/>
  </xdr:twoCellAnchor>
  <xdr:twoCellAnchor>
    <xdr:from>
      <xdr:col>0</xdr:col>
      <xdr:colOff>51289</xdr:colOff>
      <xdr:row>62</xdr:row>
      <xdr:rowOff>14653</xdr:rowOff>
    </xdr:from>
    <xdr:to>
      <xdr:col>3</xdr:col>
      <xdr:colOff>762000</xdr:colOff>
      <xdr:row>65</xdr:row>
      <xdr:rowOff>109903</xdr:rowOff>
    </xdr:to>
    <xdr:sp macro="" textlink="">
      <xdr:nvSpPr>
        <xdr:cNvPr id="52" name="BlokTextu 51">
          <a:extLst>
            <a:ext uri="{FF2B5EF4-FFF2-40B4-BE49-F238E27FC236}">
              <a16:creationId xmlns:a16="http://schemas.microsoft.com/office/drawing/2014/main" id="{2F319EA6-0F71-4E61-BD99-DBF92AB3E131}"/>
            </a:ext>
          </a:extLst>
        </xdr:cNvPr>
        <xdr:cNvSpPr txBox="1"/>
      </xdr:nvSpPr>
      <xdr:spPr>
        <a:xfrm>
          <a:off x="51289" y="12404480"/>
          <a:ext cx="3150576" cy="5788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/>
            <a:t>suma diagonálnych prvkov</a:t>
          </a:r>
          <a:r>
            <a:rPr lang="sk-SK" sz="900" baseline="0"/>
            <a:t> = suma všetkých poistných plnení, ktoré poisťovňa stihla vyplatiť do roku 2015:</a:t>
          </a:r>
        </a:p>
        <a:p>
          <a:r>
            <a:rPr lang="sk-SK" sz="900" baseline="0"/>
            <a:t>11 + 26 + 42 + 60 + 60 + 50 = 249</a:t>
          </a:r>
          <a:endParaRPr lang="sk-SK" sz="900"/>
        </a:p>
      </xdr:txBody>
    </xdr:sp>
    <xdr:clientData/>
  </xdr:twoCellAnchor>
  <xdr:twoCellAnchor>
    <xdr:from>
      <xdr:col>1</xdr:col>
      <xdr:colOff>359020</xdr:colOff>
      <xdr:row>58</xdr:row>
      <xdr:rowOff>145074</xdr:rowOff>
    </xdr:from>
    <xdr:to>
      <xdr:col>2</xdr:col>
      <xdr:colOff>489438</xdr:colOff>
      <xdr:row>60</xdr:row>
      <xdr:rowOff>27844</xdr:rowOff>
    </xdr:to>
    <xdr:sp macro="" textlink="">
      <xdr:nvSpPr>
        <xdr:cNvPr id="53" name="BlokTextu 52">
          <a:extLst>
            <a:ext uri="{FF2B5EF4-FFF2-40B4-BE49-F238E27FC236}">
              <a16:creationId xmlns:a16="http://schemas.microsoft.com/office/drawing/2014/main" id="{A8A6BE70-5F03-4E0C-9360-5DD0C72C787A}"/>
            </a:ext>
          </a:extLst>
        </xdr:cNvPr>
        <xdr:cNvSpPr txBox="1"/>
      </xdr:nvSpPr>
      <xdr:spPr>
        <a:xfrm>
          <a:off x="1172308" y="11890132"/>
          <a:ext cx="943707" cy="2051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/>
            <a:t>39 =  26</a:t>
          </a:r>
          <a:r>
            <a:rPr lang="sk-SK" sz="900" baseline="0"/>
            <a:t> x 1,500</a:t>
          </a:r>
          <a:endParaRPr lang="sk-SK" sz="900"/>
        </a:p>
      </xdr:txBody>
    </xdr:sp>
    <xdr:clientData/>
  </xdr:twoCellAnchor>
  <xdr:twoCellAnchor>
    <xdr:from>
      <xdr:col>2</xdr:col>
      <xdr:colOff>17585</xdr:colOff>
      <xdr:row>53</xdr:row>
      <xdr:rowOff>58617</xdr:rowOff>
    </xdr:from>
    <xdr:to>
      <xdr:col>3</xdr:col>
      <xdr:colOff>168520</xdr:colOff>
      <xdr:row>58</xdr:row>
      <xdr:rowOff>145074</xdr:rowOff>
    </xdr:to>
    <xdr:cxnSp macro="">
      <xdr:nvCxnSpPr>
        <xdr:cNvPr id="55" name="Rovná spojovacia šípka 54">
          <a:extLst>
            <a:ext uri="{FF2B5EF4-FFF2-40B4-BE49-F238E27FC236}">
              <a16:creationId xmlns:a16="http://schemas.microsoft.com/office/drawing/2014/main" id="{34FEFB1C-4C08-4492-B0C4-ED19E083E8AC}"/>
            </a:ext>
          </a:extLst>
        </xdr:cNvPr>
        <xdr:cNvCxnSpPr>
          <a:stCxn id="53" idx="0"/>
        </xdr:cNvCxnSpPr>
      </xdr:nvCxnSpPr>
      <xdr:spPr>
        <a:xfrm flipV="1">
          <a:off x="1644162" y="10990386"/>
          <a:ext cx="964223" cy="899746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52</xdr:row>
      <xdr:rowOff>87923</xdr:rowOff>
    </xdr:from>
    <xdr:to>
      <xdr:col>4</xdr:col>
      <xdr:colOff>329711</xdr:colOff>
      <xdr:row>58</xdr:row>
      <xdr:rowOff>146539</xdr:rowOff>
    </xdr:to>
    <xdr:cxnSp macro="">
      <xdr:nvCxnSpPr>
        <xdr:cNvPr id="58" name="Rovná spojovacia šípka 57">
          <a:extLst>
            <a:ext uri="{FF2B5EF4-FFF2-40B4-BE49-F238E27FC236}">
              <a16:creationId xmlns:a16="http://schemas.microsoft.com/office/drawing/2014/main" id="{843F721A-B265-4C9C-B15F-11AD27177215}"/>
            </a:ext>
          </a:extLst>
        </xdr:cNvPr>
        <xdr:cNvCxnSpPr/>
      </xdr:nvCxnSpPr>
      <xdr:spPr>
        <a:xfrm flipV="1">
          <a:off x="2630365" y="10858500"/>
          <a:ext cx="952500" cy="1033097"/>
        </a:xfrm>
        <a:prstGeom prst="straightConnector1">
          <a:avLst/>
        </a:prstGeom>
        <a:ln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729760</xdr:colOff>
      <xdr:row>58</xdr:row>
      <xdr:rowOff>150936</xdr:rowOff>
    </xdr:from>
    <xdr:to>
      <xdr:col>4</xdr:col>
      <xdr:colOff>43961</xdr:colOff>
      <xdr:row>60</xdr:row>
      <xdr:rowOff>33706</xdr:rowOff>
    </xdr:to>
    <xdr:sp macro="" textlink="">
      <xdr:nvSpPr>
        <xdr:cNvPr id="61" name="BlokTextu 60">
          <a:extLst>
            <a:ext uri="{FF2B5EF4-FFF2-40B4-BE49-F238E27FC236}">
              <a16:creationId xmlns:a16="http://schemas.microsoft.com/office/drawing/2014/main" id="{9B628FE4-4507-4D66-9B77-776087D7BED9}"/>
            </a:ext>
          </a:extLst>
        </xdr:cNvPr>
        <xdr:cNvSpPr txBox="1"/>
      </xdr:nvSpPr>
      <xdr:spPr>
        <a:xfrm>
          <a:off x="2356337" y="11895994"/>
          <a:ext cx="940778" cy="2051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/>
            <a:t>56 =  42</a:t>
          </a:r>
          <a:r>
            <a:rPr lang="sk-SK" sz="900" baseline="0"/>
            <a:t> x 1,333</a:t>
          </a:r>
          <a:endParaRPr lang="sk-SK" sz="900"/>
        </a:p>
      </xdr:txBody>
    </xdr:sp>
    <xdr:clientData/>
  </xdr:twoCellAnchor>
  <xdr:twoCellAnchor>
    <xdr:from>
      <xdr:col>0</xdr:col>
      <xdr:colOff>58614</xdr:colOff>
      <xdr:row>66</xdr:row>
      <xdr:rowOff>73270</xdr:rowOff>
    </xdr:from>
    <xdr:to>
      <xdr:col>5</xdr:col>
      <xdr:colOff>43961</xdr:colOff>
      <xdr:row>71</xdr:row>
      <xdr:rowOff>102577</xdr:rowOff>
    </xdr:to>
    <xdr:sp macro="" textlink="">
      <xdr:nvSpPr>
        <xdr:cNvPr id="63" name="BlokTextu 62">
          <a:extLst>
            <a:ext uri="{FF2B5EF4-FFF2-40B4-BE49-F238E27FC236}">
              <a16:creationId xmlns:a16="http://schemas.microsoft.com/office/drawing/2014/main" id="{AC015922-777D-4D5C-B85D-64AF53D5E918}"/>
            </a:ext>
          </a:extLst>
        </xdr:cNvPr>
        <xdr:cNvSpPr txBox="1"/>
      </xdr:nvSpPr>
      <xdr:spPr>
        <a:xfrm>
          <a:off x="58614" y="13107866"/>
          <a:ext cx="4051789" cy="8645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 baseline="0"/>
            <a:t>Odhad rezervy, ktorou poisťovňa by mala disponovať na konci roku 2015, aby bola schopná plniť svoje záväzky v nasledujúcich piatich rokoch =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aseline="0"/>
            <a:t>= </a:t>
          </a:r>
          <a:r>
            <a:rPr lang="sk-SK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suma kumulatívnych</a:t>
          </a:r>
          <a:r>
            <a:rPr lang="sk-SK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poistných plnení v 5. vývojovom roku - </a:t>
          </a:r>
          <a:endParaRPr lang="sk-SK" sz="900">
            <a:effectLst/>
          </a:endParaRPr>
        </a:p>
        <a:p>
          <a:r>
            <a:rPr lang="sk-SK" sz="900" baseline="0"/>
            <a:t>- (suma všetkých poistných plnení, ktoré poisťovňa stihla vyplatiť do roku 2015) = </a:t>
          </a:r>
        </a:p>
        <a:p>
          <a:r>
            <a:rPr lang="sk-SK" sz="900" baseline="0"/>
            <a:t>= </a:t>
          </a:r>
          <a:r>
            <a:rPr lang="sk-SK" sz="900" b="1" baseline="0"/>
            <a:t>375 - 249 = 126 miliónov eur</a:t>
          </a:r>
          <a:endParaRPr lang="sk-SK" sz="900" b="1"/>
        </a:p>
      </xdr:txBody>
    </xdr:sp>
    <xdr:clientData/>
  </xdr:twoCellAnchor>
  <xdr:twoCellAnchor>
    <xdr:from>
      <xdr:col>0</xdr:col>
      <xdr:colOff>87312</xdr:colOff>
      <xdr:row>86</xdr:row>
      <xdr:rowOff>47625</xdr:rowOff>
    </xdr:from>
    <xdr:to>
      <xdr:col>5</xdr:col>
      <xdr:colOff>72659</xdr:colOff>
      <xdr:row>91</xdr:row>
      <xdr:rowOff>108682</xdr:rowOff>
    </xdr:to>
    <xdr:sp macro="" textlink="">
      <xdr:nvSpPr>
        <xdr:cNvPr id="38" name="BlokTextu 37">
          <a:extLst>
            <a:ext uri="{FF2B5EF4-FFF2-40B4-BE49-F238E27FC236}">
              <a16:creationId xmlns:a16="http://schemas.microsoft.com/office/drawing/2014/main" id="{96B6F76F-9CCD-4B9E-9DC7-8B2AA54519C3}"/>
            </a:ext>
          </a:extLst>
        </xdr:cNvPr>
        <xdr:cNvSpPr txBox="1"/>
      </xdr:nvSpPr>
      <xdr:spPr>
        <a:xfrm>
          <a:off x="87312" y="15255875"/>
          <a:ext cx="4033472" cy="8548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 baseline="0"/>
            <a:t>Odhad rezervy, ktorou by poisťovňa mala disponovať na konci roku 2015, aby bola schopná plniť svoje záväzky v nasledujúcich piatich rokoch =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aseline="0"/>
            <a:t>= </a:t>
          </a:r>
          <a:r>
            <a:rPr lang="sk-SK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suma všetkých</a:t>
          </a:r>
          <a:r>
            <a:rPr lang="sk-SK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odhadnutých nekumulatívnych hodnôt v dolnom trojuholníku nekumulatívneho trojuholníka</a:t>
          </a:r>
          <a:endParaRPr lang="sk-SK" sz="900" b="1"/>
        </a:p>
      </xdr:txBody>
    </xdr:sp>
    <xdr:clientData/>
  </xdr:twoCellAnchor>
  <xdr:twoCellAnchor>
    <xdr:from>
      <xdr:col>5</xdr:col>
      <xdr:colOff>158750</xdr:colOff>
      <xdr:row>85</xdr:row>
      <xdr:rowOff>55563</xdr:rowOff>
    </xdr:from>
    <xdr:to>
      <xdr:col>6</xdr:col>
      <xdr:colOff>381000</xdr:colOff>
      <xdr:row>88</xdr:row>
      <xdr:rowOff>79376</xdr:rowOff>
    </xdr:to>
    <xdr:cxnSp macro="">
      <xdr:nvCxnSpPr>
        <xdr:cNvPr id="40" name="Rovná spojovacia šípka 39">
          <a:extLst>
            <a:ext uri="{FF2B5EF4-FFF2-40B4-BE49-F238E27FC236}">
              <a16:creationId xmlns:a16="http://schemas.microsoft.com/office/drawing/2014/main" id="{D1DB22CD-8D49-47A6-8DDC-2996E68700A2}"/>
            </a:ext>
          </a:extLst>
        </xdr:cNvPr>
        <xdr:cNvCxnSpPr/>
      </xdr:nvCxnSpPr>
      <xdr:spPr>
        <a:xfrm flipV="1">
          <a:off x="4206875" y="15105063"/>
          <a:ext cx="1031875" cy="5000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746125</xdr:colOff>
      <xdr:row>105</xdr:row>
      <xdr:rowOff>452437</xdr:rowOff>
    </xdr:from>
    <xdr:to>
      <xdr:col>6</xdr:col>
      <xdr:colOff>849313</xdr:colOff>
      <xdr:row>110</xdr:row>
      <xdr:rowOff>127000</xdr:rowOff>
    </xdr:to>
    <xdr:sp macro="" textlink="">
      <xdr:nvSpPr>
        <xdr:cNvPr id="47" name="BlokTextu 46">
          <a:extLst>
            <a:ext uri="{FF2B5EF4-FFF2-40B4-BE49-F238E27FC236}">
              <a16:creationId xmlns:a16="http://schemas.microsoft.com/office/drawing/2014/main" id="{8CF01F0A-5776-43C3-B864-2CDA9F3564D8}"/>
            </a:ext>
          </a:extLst>
        </xdr:cNvPr>
        <xdr:cNvSpPr txBox="1"/>
      </xdr:nvSpPr>
      <xdr:spPr>
        <a:xfrm>
          <a:off x="2365375" y="19026187"/>
          <a:ext cx="3341688" cy="9604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Očakávaná výška poistných plnení (očakávaná</a:t>
          </a:r>
          <a:r>
            <a:rPr lang="sk-SK" sz="9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výška rezerv</a:t>
          </a:r>
          <a:r>
            <a:rPr lang="sk-SK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pre jednotlivé budúce roky plynucích</a:t>
          </a:r>
          <a:r>
            <a:rPr lang="sk-SK" sz="9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z poistných udalostí nahlásených v rokoch 2010 až 2015 = </a:t>
          </a:r>
        </a:p>
        <a:p>
          <a:r>
            <a:rPr lang="sk-SK" sz="9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 </a:t>
          </a:r>
          <a:r>
            <a:rPr lang="sk-SK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suma </a:t>
          </a:r>
          <a:r>
            <a:rPr lang="sk-SK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hodnôt na jednotlivých</a:t>
          </a:r>
          <a:r>
            <a:rPr lang="sk-SK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sk-SK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subdiagonálach dolného odhadnutého nekumulatívneho</a:t>
          </a:r>
          <a:r>
            <a:rPr lang="sk-SK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trojuholníku</a:t>
          </a:r>
          <a:r>
            <a:rPr lang="sk-SK" sz="9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(hodnoty sú uvedené v miliónoch eur)</a:t>
          </a:r>
          <a:endParaRPr lang="sk-SK" sz="9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166688</xdr:colOff>
      <xdr:row>107</xdr:row>
      <xdr:rowOff>79376</xdr:rowOff>
    </xdr:from>
    <xdr:to>
      <xdr:col>2</xdr:col>
      <xdr:colOff>722313</xdr:colOff>
      <xdr:row>107</xdr:row>
      <xdr:rowOff>134938</xdr:rowOff>
    </xdr:to>
    <xdr:cxnSp macro="">
      <xdr:nvCxnSpPr>
        <xdr:cNvPr id="48" name="Rovná spojovacia šípka 47">
          <a:extLst>
            <a:ext uri="{FF2B5EF4-FFF2-40B4-BE49-F238E27FC236}">
              <a16:creationId xmlns:a16="http://schemas.microsoft.com/office/drawing/2014/main" id="{F8E0EF47-2614-40E2-8C1B-6F6E924AAAF0}"/>
            </a:ext>
          </a:extLst>
        </xdr:cNvPr>
        <xdr:cNvCxnSpPr/>
      </xdr:nvCxnSpPr>
      <xdr:spPr>
        <a:xfrm flipH="1">
          <a:off x="1785938" y="19462751"/>
          <a:ext cx="555625" cy="555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396875</xdr:colOff>
      <xdr:row>104</xdr:row>
      <xdr:rowOff>95251</xdr:rowOff>
    </xdr:from>
    <xdr:to>
      <xdr:col>4</xdr:col>
      <xdr:colOff>531813</xdr:colOff>
      <xdr:row>105</xdr:row>
      <xdr:rowOff>412750</xdr:rowOff>
    </xdr:to>
    <xdr:cxnSp macro="">
      <xdr:nvCxnSpPr>
        <xdr:cNvPr id="49" name="Rovná spojovacia šípka 48">
          <a:extLst>
            <a:ext uri="{FF2B5EF4-FFF2-40B4-BE49-F238E27FC236}">
              <a16:creationId xmlns:a16="http://schemas.microsoft.com/office/drawing/2014/main" id="{FA3F96F9-D9AB-40C3-8245-DD0B057FF8C2}"/>
            </a:ext>
          </a:extLst>
        </xdr:cNvPr>
        <xdr:cNvCxnSpPr/>
      </xdr:nvCxnSpPr>
      <xdr:spPr>
        <a:xfrm flipV="1">
          <a:off x="3635375" y="18494376"/>
          <a:ext cx="134938" cy="4921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87312</xdr:colOff>
      <xdr:row>76</xdr:row>
      <xdr:rowOff>47625</xdr:rowOff>
    </xdr:from>
    <xdr:to>
      <xdr:col>5</xdr:col>
      <xdr:colOff>72659</xdr:colOff>
      <xdr:row>82</xdr:row>
      <xdr:rowOff>134938</xdr:rowOff>
    </xdr:to>
    <xdr:sp macro="" textlink="">
      <xdr:nvSpPr>
        <xdr:cNvPr id="36" name="BlokTextu 35">
          <a:extLst>
            <a:ext uri="{FF2B5EF4-FFF2-40B4-BE49-F238E27FC236}">
              <a16:creationId xmlns:a16="http://schemas.microsoft.com/office/drawing/2014/main" id="{86DC5F0F-E53F-4206-912A-6E95D6E8F207}"/>
            </a:ext>
          </a:extLst>
        </xdr:cNvPr>
        <xdr:cNvSpPr txBox="1"/>
      </xdr:nvSpPr>
      <xdr:spPr>
        <a:xfrm>
          <a:off x="87312" y="17970500"/>
          <a:ext cx="4033472" cy="10398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 baseline="0"/>
            <a:t>Odhad rezervy (bez diskontovania peňažných tokov, z hodnôt upravených o infláciu):</a:t>
          </a:r>
          <a:br>
            <a:rPr lang="sk-SK" sz="900" baseline="0"/>
          </a:br>
          <a:r>
            <a:rPr lang="sk-SK" sz="900" baseline="0">
              <a:solidFill>
                <a:schemeClr val="dk1"/>
              </a:solidFill>
              <a:latin typeface="+mn-lt"/>
              <a:ea typeface="+mn-ea"/>
              <a:cs typeface="+mn-cs"/>
            </a:rPr>
            <a:t>Odhad rezervy, </a:t>
          </a:r>
          <a:r>
            <a:rPr lang="sk-SK" sz="900" baseline="0"/>
            <a:t>ktorou by poisťovňa mala disponovať na konci roku 2015, aby bola schopná plniť svoje záväzky v nasledujúcich piatich rokoch =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aseline="0"/>
            <a:t>= </a:t>
          </a:r>
          <a:r>
            <a:rPr lang="sk-SK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suma všetkých</a:t>
          </a:r>
          <a:r>
            <a:rPr lang="sk-SK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odhadnutých nekumulatívnych hodnôt v dolnom trojuholníku nekumulatívneho trojuholníka</a:t>
          </a:r>
          <a:endParaRPr lang="sk-SK" sz="900" b="1"/>
        </a:p>
      </xdr:txBody>
    </xdr:sp>
    <xdr:clientData/>
  </xdr:twoCellAnchor>
  <xdr:twoCellAnchor>
    <xdr:from>
      <xdr:col>5</xdr:col>
      <xdr:colOff>158750</xdr:colOff>
      <xdr:row>75</xdr:row>
      <xdr:rowOff>55563</xdr:rowOff>
    </xdr:from>
    <xdr:to>
      <xdr:col>6</xdr:col>
      <xdr:colOff>381000</xdr:colOff>
      <xdr:row>78</xdr:row>
      <xdr:rowOff>79376</xdr:rowOff>
    </xdr:to>
    <xdr:cxnSp macro="">
      <xdr:nvCxnSpPr>
        <xdr:cNvPr id="37" name="Rovná spojovacia šípka 36">
          <a:extLst>
            <a:ext uri="{FF2B5EF4-FFF2-40B4-BE49-F238E27FC236}">
              <a16:creationId xmlns:a16="http://schemas.microsoft.com/office/drawing/2014/main" id="{C991B718-665A-4F99-AF2E-489C2F9FB462}"/>
            </a:ext>
          </a:extLst>
        </xdr:cNvPr>
        <xdr:cNvCxnSpPr/>
      </xdr:nvCxnSpPr>
      <xdr:spPr>
        <a:xfrm flipV="1">
          <a:off x="4206875" y="15257463"/>
          <a:ext cx="1031875" cy="5095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762000</xdr:colOff>
      <xdr:row>95</xdr:row>
      <xdr:rowOff>198437</xdr:rowOff>
    </xdr:from>
    <xdr:to>
      <xdr:col>7</xdr:col>
      <xdr:colOff>7938</xdr:colOff>
      <xdr:row>100</xdr:row>
      <xdr:rowOff>63500</xdr:rowOff>
    </xdr:to>
    <xdr:sp macro="" textlink="">
      <xdr:nvSpPr>
        <xdr:cNvPr id="9" name="BlokTextu 8">
          <a:extLst>
            <a:ext uri="{FF2B5EF4-FFF2-40B4-BE49-F238E27FC236}">
              <a16:creationId xmlns:a16="http://schemas.microsoft.com/office/drawing/2014/main" id="{404B8D98-0C6E-424D-A4A8-00BD2DA2E622}"/>
            </a:ext>
          </a:extLst>
        </xdr:cNvPr>
        <xdr:cNvSpPr txBox="1"/>
      </xdr:nvSpPr>
      <xdr:spPr>
        <a:xfrm>
          <a:off x="2381250" y="21201062"/>
          <a:ext cx="3341688" cy="11509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Očakávaná výška poistných plnení (očakávaná</a:t>
          </a:r>
          <a:r>
            <a:rPr lang="sk-SK" sz="9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výška rezerv bez diskontovania peňažných tokov, z hodnôt upravenýcj o infláciu</a:t>
          </a:r>
          <a:r>
            <a:rPr lang="sk-SK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pre jednotlivé budúce roky plynucích</a:t>
          </a:r>
          <a:r>
            <a:rPr lang="sk-SK" sz="9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z poistných udalostí nahlásených v rokoch 2010 až 2015 = </a:t>
          </a:r>
        </a:p>
        <a:p>
          <a:r>
            <a:rPr lang="sk-SK" sz="9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 </a:t>
          </a:r>
          <a:r>
            <a:rPr lang="sk-SK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suma </a:t>
          </a:r>
          <a:r>
            <a:rPr lang="sk-SK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hodnôt na jednotlivých</a:t>
          </a:r>
          <a:r>
            <a:rPr lang="sk-SK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sk-SK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subdiagonálach dolného odhadnutého nekumulatívneho</a:t>
          </a:r>
          <a:r>
            <a:rPr lang="sk-SK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trojuholníku</a:t>
          </a:r>
          <a:r>
            <a:rPr lang="sk-SK" sz="9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(hodnoty sú uvedené v miliónoch eur)</a:t>
          </a:r>
          <a:endParaRPr lang="sk-SK" sz="9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166688</xdr:colOff>
      <xdr:row>97</xdr:row>
      <xdr:rowOff>79376</xdr:rowOff>
    </xdr:from>
    <xdr:to>
      <xdr:col>2</xdr:col>
      <xdr:colOff>722313</xdr:colOff>
      <xdr:row>97</xdr:row>
      <xdr:rowOff>134938</xdr:rowOff>
    </xdr:to>
    <xdr:cxnSp macro="">
      <xdr:nvCxnSpPr>
        <xdr:cNvPr id="10" name="Rovná spojovacia šípka 9">
          <a:extLst>
            <a:ext uri="{FF2B5EF4-FFF2-40B4-BE49-F238E27FC236}">
              <a16:creationId xmlns:a16="http://schemas.microsoft.com/office/drawing/2014/main" id="{BC53E492-CE91-4B3A-B32B-B50B9E31ADC1}"/>
            </a:ext>
          </a:extLst>
        </xdr:cNvPr>
        <xdr:cNvCxnSpPr/>
      </xdr:nvCxnSpPr>
      <xdr:spPr>
        <a:xfrm flipH="1">
          <a:off x="1785938" y="19624676"/>
          <a:ext cx="555625" cy="555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476250</xdr:colOff>
      <xdr:row>93</xdr:row>
      <xdr:rowOff>142875</xdr:rowOff>
    </xdr:from>
    <xdr:to>
      <xdr:col>4</xdr:col>
      <xdr:colOff>571500</xdr:colOff>
      <xdr:row>95</xdr:row>
      <xdr:rowOff>198438</xdr:rowOff>
    </xdr:to>
    <xdr:cxnSp macro="">
      <xdr:nvCxnSpPr>
        <xdr:cNvPr id="11" name="Rovná spojovacia šípka 10">
          <a:extLst>
            <a:ext uri="{FF2B5EF4-FFF2-40B4-BE49-F238E27FC236}">
              <a16:creationId xmlns:a16="http://schemas.microsoft.com/office/drawing/2014/main" id="{2CB70DBE-81C3-43F3-802D-D27961730032}"/>
            </a:ext>
          </a:extLst>
        </xdr:cNvPr>
        <xdr:cNvCxnSpPr/>
      </xdr:nvCxnSpPr>
      <xdr:spPr>
        <a:xfrm flipV="1">
          <a:off x="3714750" y="20812125"/>
          <a:ext cx="95250" cy="3889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95251</xdr:colOff>
      <xdr:row>110</xdr:row>
      <xdr:rowOff>71438</xdr:rowOff>
    </xdr:from>
    <xdr:to>
      <xdr:col>4</xdr:col>
      <xdr:colOff>285750</xdr:colOff>
      <xdr:row>115</xdr:row>
      <xdr:rowOff>111125</xdr:rowOff>
    </xdr:to>
    <xdr:sp macro="" textlink="">
      <xdr:nvSpPr>
        <xdr:cNvPr id="13" name="BlokTextu 12">
          <a:extLst>
            <a:ext uri="{FF2B5EF4-FFF2-40B4-BE49-F238E27FC236}">
              <a16:creationId xmlns:a16="http://schemas.microsoft.com/office/drawing/2014/main" id="{78F6D3C2-4353-4F8A-AD91-398B2AEC3C0C}"/>
            </a:ext>
          </a:extLst>
        </xdr:cNvPr>
        <xdr:cNvSpPr txBox="1"/>
      </xdr:nvSpPr>
      <xdr:spPr>
        <a:xfrm>
          <a:off x="1714501" y="24685626"/>
          <a:ext cx="1809749" cy="8334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Predpokladáme,</a:t>
          </a:r>
          <a:r>
            <a:rPr lang="sk-SK" sz="9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že "priemerné poistné plnenie" je vyplatené v polovici roka, t. j. že budúce poistné plnenia sú splatné k polovici daného roka.</a:t>
          </a:r>
          <a:endParaRPr lang="sk-SK" sz="9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144462</xdr:colOff>
      <xdr:row>109</xdr:row>
      <xdr:rowOff>15875</xdr:rowOff>
    </xdr:from>
    <xdr:to>
      <xdr:col>3</xdr:col>
      <xdr:colOff>793750</xdr:colOff>
      <xdr:row>110</xdr:row>
      <xdr:rowOff>49214</xdr:rowOff>
    </xdr:to>
    <xdr:cxnSp macro="">
      <xdr:nvCxnSpPr>
        <xdr:cNvPr id="14" name="Rovná spojovacia šípka 13">
          <a:extLst>
            <a:ext uri="{FF2B5EF4-FFF2-40B4-BE49-F238E27FC236}">
              <a16:creationId xmlns:a16="http://schemas.microsoft.com/office/drawing/2014/main" id="{2E15F62A-D1F4-4A4B-BF18-165FBFEBD356}"/>
            </a:ext>
          </a:extLst>
        </xdr:cNvPr>
        <xdr:cNvCxnSpPr/>
      </xdr:nvCxnSpPr>
      <xdr:spPr>
        <a:xfrm flipV="1">
          <a:off x="2573337" y="24399875"/>
          <a:ext cx="649288" cy="192089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301625</xdr:colOff>
      <xdr:row>110</xdr:row>
      <xdr:rowOff>95251</xdr:rowOff>
    </xdr:from>
    <xdr:to>
      <xdr:col>9</xdr:col>
      <xdr:colOff>460375</xdr:colOff>
      <xdr:row>113</xdr:row>
      <xdr:rowOff>63501</xdr:rowOff>
    </xdr:to>
    <xdr:sp macro="" textlink="">
      <xdr:nvSpPr>
        <xdr:cNvPr id="16" name="BlokTextu 15">
          <a:extLst>
            <a:ext uri="{FF2B5EF4-FFF2-40B4-BE49-F238E27FC236}">
              <a16:creationId xmlns:a16="http://schemas.microsoft.com/office/drawing/2014/main" id="{4FA1E610-D4EC-4EC9-9859-B29254B08760}"/>
            </a:ext>
          </a:extLst>
        </xdr:cNvPr>
        <xdr:cNvSpPr txBox="1"/>
      </xdr:nvSpPr>
      <xdr:spPr>
        <a:xfrm>
          <a:off x="5159375" y="24709439"/>
          <a:ext cx="2460625" cy="444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 b="1" baseline="0"/>
            <a:t>Odhad rezervy s diskontovaním peňažných tokov, z hodnôt upravených o infláciu</a:t>
          </a:r>
          <a:br>
            <a:rPr lang="sk-SK" sz="900" baseline="0"/>
          </a:br>
          <a:endParaRPr lang="sk-SK" sz="900" b="1"/>
        </a:p>
      </xdr:txBody>
    </xdr:sp>
    <xdr:clientData/>
  </xdr:twoCellAnchor>
  <xdr:twoCellAnchor>
    <xdr:from>
      <xdr:col>5</xdr:col>
      <xdr:colOff>714375</xdr:colOff>
      <xdr:row>110</xdr:row>
      <xdr:rowOff>23812</xdr:rowOff>
    </xdr:from>
    <xdr:to>
      <xdr:col>6</xdr:col>
      <xdr:colOff>247650</xdr:colOff>
      <xdr:row>111</xdr:row>
      <xdr:rowOff>136528</xdr:rowOff>
    </xdr:to>
    <xdr:cxnSp macro="">
      <xdr:nvCxnSpPr>
        <xdr:cNvPr id="17" name="Rovná spojovacia šípka 16">
          <a:extLst>
            <a:ext uri="{FF2B5EF4-FFF2-40B4-BE49-F238E27FC236}">
              <a16:creationId xmlns:a16="http://schemas.microsoft.com/office/drawing/2014/main" id="{E8901BC8-519B-49EB-A4BE-A83B168C50E2}"/>
            </a:ext>
          </a:extLst>
        </xdr:cNvPr>
        <xdr:cNvCxnSpPr/>
      </xdr:nvCxnSpPr>
      <xdr:spPr>
        <a:xfrm flipH="1" flipV="1">
          <a:off x="4762500" y="24638000"/>
          <a:ext cx="342900" cy="271466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175846</xdr:colOff>
      <xdr:row>37</xdr:row>
      <xdr:rowOff>87923</xdr:rowOff>
    </xdr:from>
    <xdr:to>
      <xdr:col>1</xdr:col>
      <xdr:colOff>681404</xdr:colOff>
      <xdr:row>40</xdr:row>
      <xdr:rowOff>127000</xdr:rowOff>
    </xdr:to>
    <xdr:sp macro="" textlink="">
      <xdr:nvSpPr>
        <xdr:cNvPr id="2" name="BlokTextu 1">
          <a:extLst>
            <a:ext uri="{FF2B5EF4-FFF2-40B4-BE49-F238E27FC236}">
              <a16:creationId xmlns:a16="http://schemas.microsoft.com/office/drawing/2014/main" id="{5DB15B36-6995-4FFD-8547-D01F2EAB3EE5}"/>
            </a:ext>
          </a:extLst>
        </xdr:cNvPr>
        <xdr:cNvSpPr txBox="1"/>
      </xdr:nvSpPr>
      <xdr:spPr>
        <a:xfrm>
          <a:off x="175846" y="7271361"/>
          <a:ext cx="1315183" cy="5153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/>
            <a:t>= (21+28+29+24+26)</a:t>
          </a:r>
          <a:r>
            <a:rPr lang="sk-SK" sz="900" baseline="0"/>
            <a:t> /   </a:t>
          </a:r>
        </a:p>
        <a:p>
          <a:r>
            <a:rPr lang="sk-SK" sz="900" baseline="0"/>
            <a:t>   (9+13+14+16+12)</a:t>
          </a:r>
          <a:endParaRPr lang="sk-SK" sz="900"/>
        </a:p>
      </xdr:txBody>
    </xdr:sp>
    <xdr:clientData/>
  </xdr:twoCellAnchor>
  <xdr:twoCellAnchor>
    <xdr:from>
      <xdr:col>0</xdr:col>
      <xdr:colOff>556846</xdr:colOff>
      <xdr:row>35</xdr:row>
      <xdr:rowOff>73269</xdr:rowOff>
    </xdr:from>
    <xdr:to>
      <xdr:col>1</xdr:col>
      <xdr:colOff>205154</xdr:colOff>
      <xdr:row>37</xdr:row>
      <xdr:rowOff>29307</xdr:rowOff>
    </xdr:to>
    <xdr:cxnSp macro="">
      <xdr:nvCxnSpPr>
        <xdr:cNvPr id="3" name="Rovná spojovacia šípka 2">
          <a:extLst>
            <a:ext uri="{FF2B5EF4-FFF2-40B4-BE49-F238E27FC236}">
              <a16:creationId xmlns:a16="http://schemas.microsoft.com/office/drawing/2014/main" id="{BB04CEC4-0CA8-4182-928B-CA2D7F2CA35B}"/>
            </a:ext>
          </a:extLst>
        </xdr:cNvPr>
        <xdr:cNvCxnSpPr/>
      </xdr:nvCxnSpPr>
      <xdr:spPr>
        <a:xfrm flipV="1">
          <a:off x="556846" y="6597894"/>
          <a:ext cx="457933" cy="2894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630117</xdr:colOff>
      <xdr:row>34</xdr:row>
      <xdr:rowOff>80596</xdr:rowOff>
    </xdr:from>
    <xdr:to>
      <xdr:col>2</xdr:col>
      <xdr:colOff>43961</xdr:colOff>
      <xdr:row>40</xdr:row>
      <xdr:rowOff>131885</xdr:rowOff>
    </xdr:to>
    <xdr:cxnSp macro="">
      <xdr:nvCxnSpPr>
        <xdr:cNvPr id="4" name="Rovná spojovacia šípka 3">
          <a:extLst>
            <a:ext uri="{FF2B5EF4-FFF2-40B4-BE49-F238E27FC236}">
              <a16:creationId xmlns:a16="http://schemas.microsoft.com/office/drawing/2014/main" id="{EDB0751B-9B9F-45D0-9CA2-53ABA5A5F3D6}"/>
            </a:ext>
          </a:extLst>
        </xdr:cNvPr>
        <xdr:cNvCxnSpPr/>
      </xdr:nvCxnSpPr>
      <xdr:spPr>
        <a:xfrm flipH="1" flipV="1">
          <a:off x="1439742" y="6443296"/>
          <a:ext cx="223469" cy="10323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</xdr:colOff>
      <xdr:row>40</xdr:row>
      <xdr:rowOff>146539</xdr:rowOff>
    </xdr:from>
    <xdr:to>
      <xdr:col>2</xdr:col>
      <xdr:colOff>402980</xdr:colOff>
      <xdr:row>44</xdr:row>
      <xdr:rowOff>47625</xdr:rowOff>
    </xdr:to>
    <xdr:sp macro="" textlink="">
      <xdr:nvSpPr>
        <xdr:cNvPr id="5" name="BlokTextu 4">
          <a:extLst>
            <a:ext uri="{FF2B5EF4-FFF2-40B4-BE49-F238E27FC236}">
              <a16:creationId xmlns:a16="http://schemas.microsoft.com/office/drawing/2014/main" id="{2E2F5D2A-7DD1-4581-AE22-BC44D5F05A64}"/>
            </a:ext>
          </a:extLst>
        </xdr:cNvPr>
        <xdr:cNvSpPr txBox="1"/>
      </xdr:nvSpPr>
      <xdr:spPr>
        <a:xfrm>
          <a:off x="904875" y="7806227"/>
          <a:ext cx="1117355" cy="5360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/>
            <a:t>= (31+36+44+42)</a:t>
          </a:r>
          <a:r>
            <a:rPr lang="sk-SK" sz="900" baseline="0"/>
            <a:t> / </a:t>
          </a:r>
          <a:endParaRPr lang="sk-SK" sz="900"/>
        </a:p>
        <a:p>
          <a:r>
            <a:rPr lang="sk-SK" sz="900"/>
            <a:t>   (21+28+29+24)</a:t>
          </a:r>
        </a:p>
      </xdr:txBody>
    </xdr:sp>
    <xdr:clientData/>
  </xdr:twoCellAnchor>
  <xdr:twoCellAnchor>
    <xdr:from>
      <xdr:col>1</xdr:col>
      <xdr:colOff>622790</xdr:colOff>
      <xdr:row>33</xdr:row>
      <xdr:rowOff>51289</xdr:rowOff>
    </xdr:from>
    <xdr:to>
      <xdr:col>2</xdr:col>
      <xdr:colOff>512885</xdr:colOff>
      <xdr:row>41</xdr:row>
      <xdr:rowOff>0</xdr:rowOff>
    </xdr:to>
    <xdr:cxnSp macro="">
      <xdr:nvCxnSpPr>
        <xdr:cNvPr id="6" name="Rovná spojovacia šípka 5">
          <a:extLst>
            <a:ext uri="{FF2B5EF4-FFF2-40B4-BE49-F238E27FC236}">
              <a16:creationId xmlns:a16="http://schemas.microsoft.com/office/drawing/2014/main" id="{8EAD57BF-0215-458E-90F0-85EF7297F013}"/>
            </a:ext>
          </a:extLst>
        </xdr:cNvPr>
        <xdr:cNvCxnSpPr/>
      </xdr:nvCxnSpPr>
      <xdr:spPr>
        <a:xfrm flipH="1" flipV="1">
          <a:off x="1432415" y="6252064"/>
          <a:ext cx="699720" cy="125363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498231</xdr:colOff>
      <xdr:row>40</xdr:row>
      <xdr:rowOff>139212</xdr:rowOff>
    </xdr:from>
    <xdr:to>
      <xdr:col>3</xdr:col>
      <xdr:colOff>681404</xdr:colOff>
      <xdr:row>44</xdr:row>
      <xdr:rowOff>63500</xdr:rowOff>
    </xdr:to>
    <xdr:sp macro="" textlink="">
      <xdr:nvSpPr>
        <xdr:cNvPr id="7" name="BlokTextu 6">
          <a:extLst>
            <a:ext uri="{FF2B5EF4-FFF2-40B4-BE49-F238E27FC236}">
              <a16:creationId xmlns:a16="http://schemas.microsoft.com/office/drawing/2014/main" id="{A4BE27C0-8FAF-4177-BE9F-504C27E6F875}"/>
            </a:ext>
          </a:extLst>
        </xdr:cNvPr>
        <xdr:cNvSpPr txBox="1"/>
      </xdr:nvSpPr>
      <xdr:spPr>
        <a:xfrm>
          <a:off x="2117481" y="7798900"/>
          <a:ext cx="992798" cy="5592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/>
            <a:t>=  (42+46+60) /</a:t>
          </a:r>
        </a:p>
        <a:p>
          <a:r>
            <a:rPr lang="sk-SK" sz="900"/>
            <a:t>    </a:t>
          </a:r>
          <a:r>
            <a:rPr lang="sk-SK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(31+36+44)</a:t>
          </a:r>
          <a:r>
            <a:rPr lang="sk-SK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sk-SK" sz="900" baseline="0"/>
        </a:p>
      </xdr:txBody>
    </xdr:sp>
    <xdr:clientData/>
  </xdr:twoCellAnchor>
  <xdr:twoCellAnchor>
    <xdr:from>
      <xdr:col>1</xdr:col>
      <xdr:colOff>615462</xdr:colOff>
      <xdr:row>32</xdr:row>
      <xdr:rowOff>87923</xdr:rowOff>
    </xdr:from>
    <xdr:to>
      <xdr:col>2</xdr:col>
      <xdr:colOff>710711</xdr:colOff>
      <xdr:row>38</xdr:row>
      <xdr:rowOff>139211</xdr:rowOff>
    </xdr:to>
    <xdr:cxnSp macro="">
      <xdr:nvCxnSpPr>
        <xdr:cNvPr id="8" name="Rovná spojovacia šípka 7">
          <a:extLst>
            <a:ext uri="{FF2B5EF4-FFF2-40B4-BE49-F238E27FC236}">
              <a16:creationId xmlns:a16="http://schemas.microsoft.com/office/drawing/2014/main" id="{F30BE127-1C90-4391-90AC-64A43E4D7F76}"/>
            </a:ext>
          </a:extLst>
        </xdr:cNvPr>
        <xdr:cNvCxnSpPr/>
      </xdr:nvCxnSpPr>
      <xdr:spPr>
        <a:xfrm flipH="1" flipV="1">
          <a:off x="1425087" y="6126773"/>
          <a:ext cx="904874" cy="10323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710101</xdr:colOff>
      <xdr:row>37</xdr:row>
      <xdr:rowOff>43350</xdr:rowOff>
    </xdr:from>
    <xdr:to>
      <xdr:col>3</xdr:col>
      <xdr:colOff>644160</xdr:colOff>
      <xdr:row>40</xdr:row>
      <xdr:rowOff>39687</xdr:rowOff>
    </xdr:to>
    <xdr:sp macro="" textlink="">
      <xdr:nvSpPr>
        <xdr:cNvPr id="9" name="BlokTextu 8">
          <a:extLst>
            <a:ext uri="{FF2B5EF4-FFF2-40B4-BE49-F238E27FC236}">
              <a16:creationId xmlns:a16="http://schemas.microsoft.com/office/drawing/2014/main" id="{D6299BB5-EAC9-4AA3-8B80-D9A47D7588E1}"/>
            </a:ext>
          </a:extLst>
        </xdr:cNvPr>
        <xdr:cNvSpPr txBox="1"/>
      </xdr:nvSpPr>
      <xdr:spPr>
        <a:xfrm>
          <a:off x="2329351" y="7226788"/>
          <a:ext cx="743684" cy="4725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/>
            <a:t>=  (50+60) /</a:t>
          </a:r>
        </a:p>
        <a:p>
          <a:r>
            <a:rPr lang="sk-SK" sz="900"/>
            <a:t>    (42+46)</a:t>
          </a:r>
        </a:p>
      </xdr:txBody>
    </xdr:sp>
    <xdr:clientData/>
  </xdr:twoCellAnchor>
  <xdr:twoCellAnchor>
    <xdr:from>
      <xdr:col>2</xdr:col>
      <xdr:colOff>637442</xdr:colOff>
      <xdr:row>31</xdr:row>
      <xdr:rowOff>51288</xdr:rowOff>
    </xdr:from>
    <xdr:to>
      <xdr:col>4</xdr:col>
      <xdr:colOff>637442</xdr:colOff>
      <xdr:row>32</xdr:row>
      <xdr:rowOff>109904</xdr:rowOff>
    </xdr:to>
    <xdr:cxnSp macro="">
      <xdr:nvCxnSpPr>
        <xdr:cNvPr id="10" name="Rovná spojovacia šípka 9">
          <a:extLst>
            <a:ext uri="{FF2B5EF4-FFF2-40B4-BE49-F238E27FC236}">
              <a16:creationId xmlns:a16="http://schemas.microsoft.com/office/drawing/2014/main" id="{02CFCACC-E05E-4C43-BC41-8C936728F56C}"/>
            </a:ext>
          </a:extLst>
        </xdr:cNvPr>
        <xdr:cNvCxnSpPr/>
      </xdr:nvCxnSpPr>
      <xdr:spPr>
        <a:xfrm flipH="1">
          <a:off x="2256692" y="5928213"/>
          <a:ext cx="1619250" cy="2205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644769</xdr:colOff>
      <xdr:row>30</xdr:row>
      <xdr:rowOff>58615</xdr:rowOff>
    </xdr:from>
    <xdr:to>
      <xdr:col>6</xdr:col>
      <xdr:colOff>80596</xdr:colOff>
      <xdr:row>31</xdr:row>
      <xdr:rowOff>87923</xdr:rowOff>
    </xdr:to>
    <xdr:sp macro="" textlink="">
      <xdr:nvSpPr>
        <xdr:cNvPr id="11" name="BlokTextu 10">
          <a:extLst>
            <a:ext uri="{FF2B5EF4-FFF2-40B4-BE49-F238E27FC236}">
              <a16:creationId xmlns:a16="http://schemas.microsoft.com/office/drawing/2014/main" id="{7DE682E9-B309-4DB6-88A9-71F1A994124A}"/>
            </a:ext>
          </a:extLst>
        </xdr:cNvPr>
        <xdr:cNvSpPr txBox="1"/>
      </xdr:nvSpPr>
      <xdr:spPr>
        <a:xfrm>
          <a:off x="3736731" y="5722327"/>
          <a:ext cx="1018442" cy="1978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/>
            <a:t>= 1,000</a:t>
          </a:r>
          <a:r>
            <a:rPr lang="sk-SK" sz="900" baseline="0"/>
            <a:t> x 1,250</a:t>
          </a:r>
        </a:p>
      </xdr:txBody>
    </xdr:sp>
    <xdr:clientData/>
  </xdr:twoCellAnchor>
  <xdr:twoCellAnchor>
    <xdr:from>
      <xdr:col>4</xdr:col>
      <xdr:colOff>652094</xdr:colOff>
      <xdr:row>32</xdr:row>
      <xdr:rowOff>7327</xdr:rowOff>
    </xdr:from>
    <xdr:to>
      <xdr:col>6</xdr:col>
      <xdr:colOff>359018</xdr:colOff>
      <xdr:row>33</xdr:row>
      <xdr:rowOff>43962</xdr:rowOff>
    </xdr:to>
    <xdr:sp macro="" textlink="">
      <xdr:nvSpPr>
        <xdr:cNvPr id="12" name="BlokTextu 11">
          <a:extLst>
            <a:ext uri="{FF2B5EF4-FFF2-40B4-BE49-F238E27FC236}">
              <a16:creationId xmlns:a16="http://schemas.microsoft.com/office/drawing/2014/main" id="{FD1C9147-494A-498C-8335-2C77E712B8B2}"/>
            </a:ext>
          </a:extLst>
        </xdr:cNvPr>
        <xdr:cNvSpPr txBox="1"/>
      </xdr:nvSpPr>
      <xdr:spPr>
        <a:xfrm>
          <a:off x="3744056" y="6000750"/>
          <a:ext cx="1289539" cy="1978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/>
            <a:t>= 1,000</a:t>
          </a:r>
          <a:r>
            <a:rPr lang="sk-SK" sz="900" baseline="0"/>
            <a:t> x 1,250 x 1,333</a:t>
          </a:r>
        </a:p>
      </xdr:txBody>
    </xdr:sp>
    <xdr:clientData/>
  </xdr:twoCellAnchor>
  <xdr:twoCellAnchor>
    <xdr:from>
      <xdr:col>2</xdr:col>
      <xdr:colOff>600810</xdr:colOff>
      <xdr:row>32</xdr:row>
      <xdr:rowOff>106241</xdr:rowOff>
    </xdr:from>
    <xdr:to>
      <xdr:col>4</xdr:col>
      <xdr:colOff>652094</xdr:colOff>
      <xdr:row>33</xdr:row>
      <xdr:rowOff>95251</xdr:rowOff>
    </xdr:to>
    <xdr:cxnSp macro="">
      <xdr:nvCxnSpPr>
        <xdr:cNvPr id="13" name="Rovná spojovacia šípka 12">
          <a:extLst>
            <a:ext uri="{FF2B5EF4-FFF2-40B4-BE49-F238E27FC236}">
              <a16:creationId xmlns:a16="http://schemas.microsoft.com/office/drawing/2014/main" id="{06A19FF2-4C7B-4C10-91AE-AA0A2CC89950}"/>
            </a:ext>
          </a:extLst>
        </xdr:cNvPr>
        <xdr:cNvCxnSpPr>
          <a:stCxn id="12" idx="1"/>
        </xdr:cNvCxnSpPr>
      </xdr:nvCxnSpPr>
      <xdr:spPr>
        <a:xfrm flipH="1">
          <a:off x="2110156" y="6099664"/>
          <a:ext cx="1633900" cy="1502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652096</xdr:colOff>
      <xdr:row>33</xdr:row>
      <xdr:rowOff>117231</xdr:rowOff>
    </xdr:from>
    <xdr:to>
      <xdr:col>6</xdr:col>
      <xdr:colOff>835269</xdr:colOff>
      <xdr:row>34</xdr:row>
      <xdr:rowOff>153865</xdr:rowOff>
    </xdr:to>
    <xdr:sp macro="" textlink="">
      <xdr:nvSpPr>
        <xdr:cNvPr id="14" name="BlokTextu 13">
          <a:extLst>
            <a:ext uri="{FF2B5EF4-FFF2-40B4-BE49-F238E27FC236}">
              <a16:creationId xmlns:a16="http://schemas.microsoft.com/office/drawing/2014/main" id="{9BF7CF07-AE12-478B-9465-873843A7F7FE}"/>
            </a:ext>
          </a:extLst>
        </xdr:cNvPr>
        <xdr:cNvSpPr txBox="1"/>
      </xdr:nvSpPr>
      <xdr:spPr>
        <a:xfrm>
          <a:off x="3744058" y="6271846"/>
          <a:ext cx="1765788" cy="1978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/>
            <a:t>= 1,000</a:t>
          </a:r>
          <a:r>
            <a:rPr lang="sk-SK" sz="900" baseline="0"/>
            <a:t> x 1,250 x 1,333 x 1,500</a:t>
          </a:r>
        </a:p>
      </xdr:txBody>
    </xdr:sp>
    <xdr:clientData/>
  </xdr:twoCellAnchor>
  <xdr:twoCellAnchor>
    <xdr:from>
      <xdr:col>2</xdr:col>
      <xdr:colOff>577362</xdr:colOff>
      <xdr:row>34</xdr:row>
      <xdr:rowOff>54952</xdr:rowOff>
    </xdr:from>
    <xdr:to>
      <xdr:col>4</xdr:col>
      <xdr:colOff>652096</xdr:colOff>
      <xdr:row>34</xdr:row>
      <xdr:rowOff>101112</xdr:rowOff>
    </xdr:to>
    <xdr:cxnSp macro="">
      <xdr:nvCxnSpPr>
        <xdr:cNvPr id="15" name="Rovná spojovacia šípka 14">
          <a:extLst>
            <a:ext uri="{FF2B5EF4-FFF2-40B4-BE49-F238E27FC236}">
              <a16:creationId xmlns:a16="http://schemas.microsoft.com/office/drawing/2014/main" id="{5F3901E4-458B-4B9F-BB6D-4082D32FB184}"/>
            </a:ext>
          </a:extLst>
        </xdr:cNvPr>
        <xdr:cNvCxnSpPr>
          <a:stCxn id="14" idx="1"/>
        </xdr:cNvCxnSpPr>
      </xdr:nvCxnSpPr>
      <xdr:spPr>
        <a:xfrm flipH="1">
          <a:off x="2086708" y="6370760"/>
          <a:ext cx="1657350" cy="46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401515</xdr:colOff>
      <xdr:row>36</xdr:row>
      <xdr:rowOff>27842</xdr:rowOff>
    </xdr:from>
    <xdr:to>
      <xdr:col>6</xdr:col>
      <xdr:colOff>952500</xdr:colOff>
      <xdr:row>37</xdr:row>
      <xdr:rowOff>64476</xdr:rowOff>
    </xdr:to>
    <xdr:sp macro="" textlink="">
      <xdr:nvSpPr>
        <xdr:cNvPr id="16" name="BlokTextu 15">
          <a:extLst>
            <a:ext uri="{FF2B5EF4-FFF2-40B4-BE49-F238E27FC236}">
              <a16:creationId xmlns:a16="http://schemas.microsoft.com/office/drawing/2014/main" id="{43933EA9-7521-4955-9356-DEDC18C5A047}"/>
            </a:ext>
          </a:extLst>
        </xdr:cNvPr>
        <xdr:cNvSpPr txBox="1"/>
      </xdr:nvSpPr>
      <xdr:spPr>
        <a:xfrm>
          <a:off x="3493477" y="6673361"/>
          <a:ext cx="2133600" cy="1978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/>
            <a:t>= 1,000</a:t>
          </a:r>
          <a:r>
            <a:rPr lang="sk-SK" sz="900" baseline="0"/>
            <a:t> x 1,250 x 1,333 x 1,500 x 2,000</a:t>
          </a:r>
        </a:p>
      </xdr:txBody>
    </xdr:sp>
    <xdr:clientData/>
  </xdr:twoCellAnchor>
  <xdr:twoCellAnchor>
    <xdr:from>
      <xdr:col>2</xdr:col>
      <xdr:colOff>571503</xdr:colOff>
      <xdr:row>35</xdr:row>
      <xdr:rowOff>97449</xdr:rowOff>
    </xdr:from>
    <xdr:to>
      <xdr:col>4</xdr:col>
      <xdr:colOff>401515</xdr:colOff>
      <xdr:row>36</xdr:row>
      <xdr:rowOff>126756</xdr:rowOff>
    </xdr:to>
    <xdr:cxnSp macro="">
      <xdr:nvCxnSpPr>
        <xdr:cNvPr id="17" name="Rovná spojovacia šípka 16">
          <a:extLst>
            <a:ext uri="{FF2B5EF4-FFF2-40B4-BE49-F238E27FC236}">
              <a16:creationId xmlns:a16="http://schemas.microsoft.com/office/drawing/2014/main" id="{8EC53E66-86E2-4D51-897B-1260627FF868}"/>
            </a:ext>
          </a:extLst>
        </xdr:cNvPr>
        <xdr:cNvCxnSpPr>
          <a:stCxn id="16" idx="1"/>
        </xdr:cNvCxnSpPr>
      </xdr:nvCxnSpPr>
      <xdr:spPr>
        <a:xfrm flipH="1" flipV="1">
          <a:off x="2080849" y="6574449"/>
          <a:ext cx="1412628" cy="1978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0</xdr:col>
      <xdr:colOff>531202</xdr:colOff>
      <xdr:row>64</xdr:row>
      <xdr:rowOff>42495</xdr:rowOff>
    </xdr:from>
    <xdr:to>
      <xdr:col>2</xdr:col>
      <xdr:colOff>167053</xdr:colOff>
      <xdr:row>66</xdr:row>
      <xdr:rowOff>80598</xdr:rowOff>
    </xdr:to>
    <xdr:cxnSp macro="">
      <xdr:nvCxnSpPr>
        <xdr:cNvPr id="18" name="Rovná spojovacia šípka 17">
          <a:extLst>
            <a:ext uri="{FF2B5EF4-FFF2-40B4-BE49-F238E27FC236}">
              <a16:creationId xmlns:a16="http://schemas.microsoft.com/office/drawing/2014/main" id="{9227C513-52D3-4822-AC77-6408A27EBAC7}"/>
            </a:ext>
          </a:extLst>
        </xdr:cNvPr>
        <xdr:cNvCxnSpPr>
          <a:stCxn id="19" idx="0"/>
        </xdr:cNvCxnSpPr>
      </xdr:nvCxnSpPr>
      <xdr:spPr>
        <a:xfrm flipV="1">
          <a:off x="531202" y="11501803"/>
          <a:ext cx="1262428" cy="3604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80596</xdr:colOff>
      <xdr:row>66</xdr:row>
      <xdr:rowOff>80598</xdr:rowOff>
    </xdr:from>
    <xdr:to>
      <xdr:col>1</xdr:col>
      <xdr:colOff>168520</xdr:colOff>
      <xdr:row>70</xdr:row>
      <xdr:rowOff>109904</xdr:rowOff>
    </xdr:to>
    <xdr:sp macro="" textlink="">
      <xdr:nvSpPr>
        <xdr:cNvPr id="19" name="BlokTextu 18">
          <a:extLst>
            <a:ext uri="{FF2B5EF4-FFF2-40B4-BE49-F238E27FC236}">
              <a16:creationId xmlns:a16="http://schemas.microsoft.com/office/drawing/2014/main" id="{86F8BAAA-23C4-4628-A038-A6F475F21FD8}"/>
            </a:ext>
          </a:extLst>
        </xdr:cNvPr>
        <xdr:cNvSpPr txBox="1"/>
      </xdr:nvSpPr>
      <xdr:spPr>
        <a:xfrm>
          <a:off x="80596" y="11862290"/>
          <a:ext cx="901212" cy="6740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900"/>
            </a:lnSpc>
          </a:pPr>
          <a:r>
            <a:rPr lang="sk-SK" sz="900"/>
            <a:t>hlavná diagonála kumulatívneho trojuholníka</a:t>
          </a:r>
        </a:p>
      </xdr:txBody>
    </xdr:sp>
    <xdr:clientData/>
  </xdr:twoCellAnchor>
  <xdr:twoCellAnchor>
    <xdr:from>
      <xdr:col>1</xdr:col>
      <xdr:colOff>593481</xdr:colOff>
      <xdr:row>65</xdr:row>
      <xdr:rowOff>47625</xdr:rowOff>
    </xdr:from>
    <xdr:to>
      <xdr:col>2</xdr:col>
      <xdr:colOff>514350</xdr:colOff>
      <xdr:row>71</xdr:row>
      <xdr:rowOff>14654</xdr:rowOff>
    </xdr:to>
    <xdr:cxnSp macro="">
      <xdr:nvCxnSpPr>
        <xdr:cNvPr id="20" name="Rovná spojovacia šípka 19">
          <a:extLst>
            <a:ext uri="{FF2B5EF4-FFF2-40B4-BE49-F238E27FC236}">
              <a16:creationId xmlns:a16="http://schemas.microsoft.com/office/drawing/2014/main" id="{5D4B65DD-C064-46A6-BD58-9D37480E44A3}"/>
            </a:ext>
          </a:extLst>
        </xdr:cNvPr>
        <xdr:cNvCxnSpPr/>
      </xdr:nvCxnSpPr>
      <xdr:spPr>
        <a:xfrm flipV="1">
          <a:off x="1403106" y="12420600"/>
          <a:ext cx="730494" cy="9671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66</xdr:row>
      <xdr:rowOff>95250</xdr:rowOff>
    </xdr:from>
    <xdr:to>
      <xdr:col>3</xdr:col>
      <xdr:colOff>315059</xdr:colOff>
      <xdr:row>69</xdr:row>
      <xdr:rowOff>124558</xdr:rowOff>
    </xdr:to>
    <xdr:sp macro="" textlink="">
      <xdr:nvSpPr>
        <xdr:cNvPr id="22" name="BlokTextu 21">
          <a:extLst>
            <a:ext uri="{FF2B5EF4-FFF2-40B4-BE49-F238E27FC236}">
              <a16:creationId xmlns:a16="http://schemas.microsoft.com/office/drawing/2014/main" id="{887C48B0-2A01-4A1F-A680-01EE7B0C01A6}"/>
            </a:ext>
          </a:extLst>
        </xdr:cNvPr>
        <xdr:cNvSpPr txBox="1"/>
      </xdr:nvSpPr>
      <xdr:spPr>
        <a:xfrm>
          <a:off x="2007577" y="11876942"/>
          <a:ext cx="747347" cy="5128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/>
            <a:t>hodnoty</a:t>
          </a:r>
          <a:r>
            <a:rPr lang="sk-SK" sz="900" baseline="0"/>
            <a:t> z predošlej tabuľky</a:t>
          </a:r>
          <a:endParaRPr lang="sk-SK" sz="900"/>
        </a:p>
      </xdr:txBody>
    </xdr:sp>
    <xdr:clientData/>
  </xdr:twoCellAnchor>
  <xdr:twoCellAnchor>
    <xdr:from>
      <xdr:col>3</xdr:col>
      <xdr:colOff>460131</xdr:colOff>
      <xdr:row>66</xdr:row>
      <xdr:rowOff>93785</xdr:rowOff>
    </xdr:from>
    <xdr:to>
      <xdr:col>4</xdr:col>
      <xdr:colOff>452804</xdr:colOff>
      <xdr:row>67</xdr:row>
      <xdr:rowOff>137747</xdr:rowOff>
    </xdr:to>
    <xdr:sp macro="" textlink="">
      <xdr:nvSpPr>
        <xdr:cNvPr id="23" name="BlokTextu 22">
          <a:extLst>
            <a:ext uri="{FF2B5EF4-FFF2-40B4-BE49-F238E27FC236}">
              <a16:creationId xmlns:a16="http://schemas.microsoft.com/office/drawing/2014/main" id="{848ADE3A-2214-4914-BEFD-A57BB7E8B055}"/>
            </a:ext>
          </a:extLst>
        </xdr:cNvPr>
        <xdr:cNvSpPr txBox="1"/>
      </xdr:nvSpPr>
      <xdr:spPr>
        <a:xfrm>
          <a:off x="2899996" y="11794881"/>
          <a:ext cx="805962" cy="2051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/>
            <a:t>= suma</a:t>
          </a:r>
        </a:p>
      </xdr:txBody>
    </xdr:sp>
    <xdr:clientData/>
  </xdr:twoCellAnchor>
  <xdr:twoCellAnchor>
    <xdr:from>
      <xdr:col>4</xdr:col>
      <xdr:colOff>783980</xdr:colOff>
      <xdr:row>68</xdr:row>
      <xdr:rowOff>14654</xdr:rowOff>
    </xdr:from>
    <xdr:to>
      <xdr:col>5</xdr:col>
      <xdr:colOff>776654</xdr:colOff>
      <xdr:row>73</xdr:row>
      <xdr:rowOff>80596</xdr:rowOff>
    </xdr:to>
    <xdr:sp macro="" textlink="">
      <xdr:nvSpPr>
        <xdr:cNvPr id="24" name="BlokTextu 23">
          <a:extLst>
            <a:ext uri="{FF2B5EF4-FFF2-40B4-BE49-F238E27FC236}">
              <a16:creationId xmlns:a16="http://schemas.microsoft.com/office/drawing/2014/main" id="{52BC3DF9-CA68-46AA-994F-41862CD74B91}"/>
            </a:ext>
          </a:extLst>
        </xdr:cNvPr>
        <xdr:cNvSpPr txBox="1"/>
      </xdr:nvSpPr>
      <xdr:spPr>
        <a:xfrm>
          <a:off x="3875942" y="12331212"/>
          <a:ext cx="783981" cy="871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0000"/>
            </a:lnSpc>
          </a:pPr>
          <a:r>
            <a:rPr lang="sk-SK" sz="900"/>
            <a:t>Dlhodobý</a:t>
          </a:r>
          <a:r>
            <a:rPr lang="sk-SK" sz="900" baseline="0"/>
            <a:t> škodový pomer = 249/250 = 0,996</a:t>
          </a:r>
          <a:endParaRPr lang="sk-SK" sz="900"/>
        </a:p>
      </xdr:txBody>
    </xdr:sp>
    <xdr:clientData/>
  </xdr:twoCellAnchor>
  <xdr:twoCellAnchor>
    <xdr:from>
      <xdr:col>4</xdr:col>
      <xdr:colOff>51655</xdr:colOff>
      <xdr:row>65</xdr:row>
      <xdr:rowOff>9525</xdr:rowOff>
    </xdr:from>
    <xdr:to>
      <xdr:col>5</xdr:col>
      <xdr:colOff>485775</xdr:colOff>
      <xdr:row>66</xdr:row>
      <xdr:rowOff>93785</xdr:rowOff>
    </xdr:to>
    <xdr:cxnSp macro="">
      <xdr:nvCxnSpPr>
        <xdr:cNvPr id="26" name="Rovná spojovacia šípka 25">
          <a:extLst>
            <a:ext uri="{FF2B5EF4-FFF2-40B4-BE49-F238E27FC236}">
              <a16:creationId xmlns:a16="http://schemas.microsoft.com/office/drawing/2014/main" id="{F29589F0-6CC5-44C0-84EA-AAB115A39B09}"/>
            </a:ext>
          </a:extLst>
        </xdr:cNvPr>
        <xdr:cNvCxnSpPr>
          <a:stCxn id="23" idx="0"/>
        </xdr:cNvCxnSpPr>
      </xdr:nvCxnSpPr>
      <xdr:spPr>
        <a:xfrm flipV="1">
          <a:off x="3290155" y="12382500"/>
          <a:ext cx="1243745" cy="2461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647700</xdr:colOff>
      <xdr:row>57</xdr:row>
      <xdr:rowOff>171450</xdr:rowOff>
    </xdr:from>
    <xdr:to>
      <xdr:col>6</xdr:col>
      <xdr:colOff>409575</xdr:colOff>
      <xdr:row>67</xdr:row>
      <xdr:rowOff>104775</xdr:rowOff>
    </xdr:to>
    <xdr:cxnSp macro="">
      <xdr:nvCxnSpPr>
        <xdr:cNvPr id="27" name="Rovná spojovacia šípka 26">
          <a:extLst>
            <a:ext uri="{FF2B5EF4-FFF2-40B4-BE49-F238E27FC236}">
              <a16:creationId xmlns:a16="http://schemas.microsoft.com/office/drawing/2014/main" id="{05C8A20D-36CE-4317-A118-417864E62F41}"/>
            </a:ext>
          </a:extLst>
        </xdr:cNvPr>
        <xdr:cNvCxnSpPr/>
      </xdr:nvCxnSpPr>
      <xdr:spPr>
        <a:xfrm flipV="1">
          <a:off x="4695825" y="11229975"/>
          <a:ext cx="571500" cy="1628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478082</xdr:colOff>
      <xdr:row>65</xdr:row>
      <xdr:rowOff>0</xdr:rowOff>
    </xdr:from>
    <xdr:to>
      <xdr:col>6</xdr:col>
      <xdr:colOff>714375</xdr:colOff>
      <xdr:row>68</xdr:row>
      <xdr:rowOff>102576</xdr:rowOff>
    </xdr:to>
    <xdr:cxnSp macro="">
      <xdr:nvCxnSpPr>
        <xdr:cNvPr id="28" name="Rovná spojovacia šípka 27">
          <a:extLst>
            <a:ext uri="{FF2B5EF4-FFF2-40B4-BE49-F238E27FC236}">
              <a16:creationId xmlns:a16="http://schemas.microsoft.com/office/drawing/2014/main" id="{689E9833-50E9-4DE5-ADB5-759AD2BD9EF6}"/>
            </a:ext>
          </a:extLst>
        </xdr:cNvPr>
        <xdr:cNvCxnSpPr>
          <a:stCxn id="29" idx="0"/>
        </xdr:cNvCxnSpPr>
      </xdr:nvCxnSpPr>
      <xdr:spPr>
        <a:xfrm flipV="1">
          <a:off x="5335832" y="12372975"/>
          <a:ext cx="236293" cy="6169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68</xdr:row>
      <xdr:rowOff>102576</xdr:rowOff>
    </xdr:from>
    <xdr:to>
      <xdr:col>7</xdr:col>
      <xdr:colOff>3663</xdr:colOff>
      <xdr:row>75</xdr:row>
      <xdr:rowOff>58615</xdr:rowOff>
    </xdr:to>
    <xdr:sp macro="" textlink="">
      <xdr:nvSpPr>
        <xdr:cNvPr id="29" name="BlokTextu 28">
          <a:extLst>
            <a:ext uri="{FF2B5EF4-FFF2-40B4-BE49-F238E27FC236}">
              <a16:creationId xmlns:a16="http://schemas.microsoft.com/office/drawing/2014/main" id="{92F21D46-DE6A-4211-B89E-73E20143D010}"/>
            </a:ext>
          </a:extLst>
        </xdr:cNvPr>
        <xdr:cNvSpPr txBox="1"/>
      </xdr:nvSpPr>
      <xdr:spPr>
        <a:xfrm>
          <a:off x="4879731" y="12419134"/>
          <a:ext cx="860913" cy="10843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900"/>
            </a:lnSpc>
          </a:pPr>
          <a:r>
            <a:rPr lang="sk-SK" sz="900"/>
            <a:t>suma odhadnutých rezerv</a:t>
          </a:r>
          <a:r>
            <a:rPr lang="sk-SK" sz="900" baseline="0"/>
            <a:t> pre jednotlivé roky vzniku v miliónoch eur</a:t>
          </a:r>
          <a:endParaRPr lang="sk-SK" sz="900"/>
        </a:p>
      </xdr:txBody>
    </xdr:sp>
    <xdr:clientData/>
  </xdr:twoCellAnchor>
  <xdr:twoCellAnchor>
    <xdr:from>
      <xdr:col>0</xdr:col>
      <xdr:colOff>51289</xdr:colOff>
      <xdr:row>71</xdr:row>
      <xdr:rowOff>14653</xdr:rowOff>
    </xdr:from>
    <xdr:to>
      <xdr:col>3</xdr:col>
      <xdr:colOff>762000</xdr:colOff>
      <xdr:row>74</xdr:row>
      <xdr:rowOff>109903</xdr:rowOff>
    </xdr:to>
    <xdr:sp macro="" textlink="">
      <xdr:nvSpPr>
        <xdr:cNvPr id="30" name="BlokTextu 29">
          <a:extLst>
            <a:ext uri="{FF2B5EF4-FFF2-40B4-BE49-F238E27FC236}">
              <a16:creationId xmlns:a16="http://schemas.microsoft.com/office/drawing/2014/main" id="{A3B21C70-1D9E-4279-8344-66E0C52F5EC7}"/>
            </a:ext>
          </a:extLst>
        </xdr:cNvPr>
        <xdr:cNvSpPr txBox="1"/>
      </xdr:nvSpPr>
      <xdr:spPr>
        <a:xfrm>
          <a:off x="51289" y="12482878"/>
          <a:ext cx="3139586" cy="581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/>
            <a:t>suma diagonálnych prvkov</a:t>
          </a:r>
          <a:r>
            <a:rPr lang="sk-SK" sz="900" baseline="0"/>
            <a:t> = suma všetkých poistných plnení, ktoré poisťovňa stihla vyplatiť do roku 2015:</a:t>
          </a:r>
        </a:p>
        <a:p>
          <a:r>
            <a:rPr lang="sk-SK" sz="900" baseline="0"/>
            <a:t>11 + 26 + 42 + 60 + 60 + 50 = 249</a:t>
          </a:r>
          <a:endParaRPr lang="sk-SK" sz="900"/>
        </a:p>
      </xdr:txBody>
    </xdr:sp>
    <xdr:clientData/>
  </xdr:twoCellAnchor>
  <xdr:twoCellAnchor>
    <xdr:from>
      <xdr:col>2</xdr:col>
      <xdr:colOff>754674</xdr:colOff>
      <xdr:row>64</xdr:row>
      <xdr:rowOff>29309</xdr:rowOff>
    </xdr:from>
    <xdr:to>
      <xdr:col>3</xdr:col>
      <xdr:colOff>329711</xdr:colOff>
      <xdr:row>66</xdr:row>
      <xdr:rowOff>95250</xdr:rowOff>
    </xdr:to>
    <xdr:cxnSp macro="">
      <xdr:nvCxnSpPr>
        <xdr:cNvPr id="33" name="Rovná spojovacia šípka 32">
          <a:extLst>
            <a:ext uri="{FF2B5EF4-FFF2-40B4-BE49-F238E27FC236}">
              <a16:creationId xmlns:a16="http://schemas.microsoft.com/office/drawing/2014/main" id="{BBA2A909-73F7-4B3C-8617-CE6153F7E46C}"/>
            </a:ext>
          </a:extLst>
        </xdr:cNvPr>
        <xdr:cNvCxnSpPr>
          <a:stCxn id="22" idx="0"/>
        </xdr:cNvCxnSpPr>
      </xdr:nvCxnSpPr>
      <xdr:spPr>
        <a:xfrm flipV="1">
          <a:off x="2381251" y="11488617"/>
          <a:ext cx="388325" cy="388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58614</xdr:colOff>
      <xdr:row>75</xdr:row>
      <xdr:rowOff>73270</xdr:rowOff>
    </xdr:from>
    <xdr:to>
      <xdr:col>4</xdr:col>
      <xdr:colOff>732692</xdr:colOff>
      <xdr:row>78</xdr:row>
      <xdr:rowOff>80597</xdr:rowOff>
    </xdr:to>
    <xdr:sp macro="" textlink="">
      <xdr:nvSpPr>
        <xdr:cNvPr id="35" name="BlokTextu 34">
          <a:extLst>
            <a:ext uri="{FF2B5EF4-FFF2-40B4-BE49-F238E27FC236}">
              <a16:creationId xmlns:a16="http://schemas.microsoft.com/office/drawing/2014/main" id="{8029C3F3-D816-4222-87E8-699BF9C29A6D}"/>
            </a:ext>
          </a:extLst>
        </xdr:cNvPr>
        <xdr:cNvSpPr txBox="1"/>
      </xdr:nvSpPr>
      <xdr:spPr>
        <a:xfrm>
          <a:off x="58614" y="13518174"/>
          <a:ext cx="3766040" cy="5202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 baseline="0"/>
            <a:t>Odhad rezervy vyjadrený v miliónoch eur, ktorou poisťovňa by mala disponovať na konci roku 2015, aby bola schopná plniť svoje záväzky v nasledujúcich piatich rokoch = suma prvkov v stĺpci [6]</a:t>
          </a:r>
          <a:endParaRPr lang="sk-SK" sz="9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657225</xdr:colOff>
      <xdr:row>81</xdr:row>
      <xdr:rowOff>76200</xdr:rowOff>
    </xdr:from>
    <xdr:to>
      <xdr:col>3</xdr:col>
      <xdr:colOff>162719</xdr:colOff>
      <xdr:row>83</xdr:row>
      <xdr:rowOff>95250</xdr:rowOff>
    </xdr:to>
    <xdr:cxnSp macro="">
      <xdr:nvCxnSpPr>
        <xdr:cNvPr id="20" name="Rovná spojovacia šípka 19">
          <a:extLst>
            <a:ext uri="{FF2B5EF4-FFF2-40B4-BE49-F238E27FC236}">
              <a16:creationId xmlns:a16="http://schemas.microsoft.com/office/drawing/2014/main" id="{4A67109C-A572-4B35-9B3A-A4386402AEDF}"/>
            </a:ext>
          </a:extLst>
        </xdr:cNvPr>
        <xdr:cNvCxnSpPr>
          <a:stCxn id="21" idx="0"/>
        </xdr:cNvCxnSpPr>
      </xdr:nvCxnSpPr>
      <xdr:spPr>
        <a:xfrm flipH="1" flipV="1">
          <a:off x="2276475" y="15563850"/>
          <a:ext cx="315119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83</xdr:row>
      <xdr:rowOff>95250</xdr:rowOff>
    </xdr:from>
    <xdr:to>
      <xdr:col>3</xdr:col>
      <xdr:colOff>754063</xdr:colOff>
      <xdr:row>87</xdr:row>
      <xdr:rowOff>31750</xdr:rowOff>
    </xdr:to>
    <xdr:sp macro="" textlink="">
      <xdr:nvSpPr>
        <xdr:cNvPr id="21" name="BlokTextu 20">
          <a:extLst>
            <a:ext uri="{FF2B5EF4-FFF2-40B4-BE49-F238E27FC236}">
              <a16:creationId xmlns:a16="http://schemas.microsoft.com/office/drawing/2014/main" id="{E48C88CF-3686-49BD-8C22-61D6CAA4ABAD}"/>
            </a:ext>
          </a:extLst>
        </xdr:cNvPr>
        <xdr:cNvSpPr txBox="1"/>
      </xdr:nvSpPr>
      <xdr:spPr>
        <a:xfrm>
          <a:off x="2000250" y="15811500"/>
          <a:ext cx="1182688" cy="603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/>
            <a:t>hodnoty</a:t>
          </a:r>
          <a:r>
            <a:rPr lang="sk-SK" sz="900" baseline="0"/>
            <a:t> z predchádzajúcich tabuliek</a:t>
          </a:r>
          <a:endParaRPr lang="sk-SK" sz="900"/>
        </a:p>
      </xdr:txBody>
    </xdr:sp>
    <xdr:clientData/>
  </xdr:twoCellAnchor>
  <xdr:twoCellAnchor>
    <xdr:from>
      <xdr:col>5</xdr:col>
      <xdr:colOff>484188</xdr:colOff>
      <xdr:row>82</xdr:row>
      <xdr:rowOff>15876</xdr:rowOff>
    </xdr:from>
    <xdr:to>
      <xdr:col>5</xdr:col>
      <xdr:colOff>529676</xdr:colOff>
      <xdr:row>85</xdr:row>
      <xdr:rowOff>31138</xdr:rowOff>
    </xdr:to>
    <xdr:cxnSp macro="">
      <xdr:nvCxnSpPr>
        <xdr:cNvPr id="26" name="Rovná spojovacia šípka 25">
          <a:extLst>
            <a:ext uri="{FF2B5EF4-FFF2-40B4-BE49-F238E27FC236}">
              <a16:creationId xmlns:a16="http://schemas.microsoft.com/office/drawing/2014/main" id="{9A3CDBD5-43B2-4006-A5E9-12DBA87E8D5A}"/>
            </a:ext>
          </a:extLst>
        </xdr:cNvPr>
        <xdr:cNvCxnSpPr>
          <a:stCxn id="27" idx="0"/>
        </xdr:cNvCxnSpPr>
      </xdr:nvCxnSpPr>
      <xdr:spPr>
        <a:xfrm flipH="1" flipV="1">
          <a:off x="4532313" y="15573376"/>
          <a:ext cx="45488" cy="5232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85</xdr:row>
      <xdr:rowOff>31138</xdr:rowOff>
    </xdr:from>
    <xdr:to>
      <xdr:col>6</xdr:col>
      <xdr:colOff>51288</xdr:colOff>
      <xdr:row>89</xdr:row>
      <xdr:rowOff>119063</xdr:rowOff>
    </xdr:to>
    <xdr:sp macro="" textlink="">
      <xdr:nvSpPr>
        <xdr:cNvPr id="27" name="BlokTextu 26">
          <a:extLst>
            <a:ext uri="{FF2B5EF4-FFF2-40B4-BE49-F238E27FC236}">
              <a16:creationId xmlns:a16="http://schemas.microsoft.com/office/drawing/2014/main" id="{771D89B6-EC67-4B4D-8FB2-A5F883FB01FA}"/>
            </a:ext>
          </a:extLst>
        </xdr:cNvPr>
        <xdr:cNvSpPr txBox="1"/>
      </xdr:nvSpPr>
      <xdr:spPr>
        <a:xfrm>
          <a:off x="4048125" y="16096638"/>
          <a:ext cx="1059351" cy="72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900"/>
            </a:lnSpc>
          </a:pPr>
          <a:r>
            <a:rPr lang="sk-SK" sz="900"/>
            <a:t>suma odhadnutých rezerv</a:t>
          </a:r>
          <a:r>
            <a:rPr lang="sk-SK" sz="900" baseline="0"/>
            <a:t> pre jednotlivé roky vzniku</a:t>
          </a:r>
          <a:endParaRPr lang="sk-SK" sz="900"/>
        </a:p>
      </xdr:txBody>
    </xdr:sp>
    <xdr:clientData/>
  </xdr:twoCellAnchor>
  <xdr:twoCellAnchor>
    <xdr:from>
      <xdr:col>3</xdr:col>
      <xdr:colOff>162719</xdr:colOff>
      <xdr:row>81</xdr:row>
      <xdr:rowOff>76200</xdr:rowOff>
    </xdr:from>
    <xdr:to>
      <xdr:col>3</xdr:col>
      <xdr:colOff>600075</xdr:colOff>
      <xdr:row>83</xdr:row>
      <xdr:rowOff>95250</xdr:rowOff>
    </xdr:to>
    <xdr:cxnSp macro="">
      <xdr:nvCxnSpPr>
        <xdr:cNvPr id="29" name="Rovná spojovacia šípka 28">
          <a:extLst>
            <a:ext uri="{FF2B5EF4-FFF2-40B4-BE49-F238E27FC236}">
              <a16:creationId xmlns:a16="http://schemas.microsoft.com/office/drawing/2014/main" id="{51905F75-7565-46C1-A49D-CE0068432B7C}"/>
            </a:ext>
          </a:extLst>
        </xdr:cNvPr>
        <xdr:cNvCxnSpPr>
          <a:stCxn id="21" idx="0"/>
        </xdr:cNvCxnSpPr>
      </xdr:nvCxnSpPr>
      <xdr:spPr>
        <a:xfrm flipV="1">
          <a:off x="2591594" y="15563850"/>
          <a:ext cx="437356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58614</xdr:colOff>
      <xdr:row>92</xdr:row>
      <xdr:rowOff>73270</xdr:rowOff>
    </xdr:from>
    <xdr:to>
      <xdr:col>4</xdr:col>
      <xdr:colOff>732692</xdr:colOff>
      <xdr:row>96</xdr:row>
      <xdr:rowOff>142875</xdr:rowOff>
    </xdr:to>
    <xdr:sp macro="" textlink="">
      <xdr:nvSpPr>
        <xdr:cNvPr id="30" name="BlokTextu 29">
          <a:extLst>
            <a:ext uri="{FF2B5EF4-FFF2-40B4-BE49-F238E27FC236}">
              <a16:creationId xmlns:a16="http://schemas.microsoft.com/office/drawing/2014/main" id="{3B3263BB-1EF3-4185-8DC9-73938F366000}"/>
            </a:ext>
          </a:extLst>
        </xdr:cNvPr>
        <xdr:cNvSpPr txBox="1"/>
      </xdr:nvSpPr>
      <xdr:spPr>
        <a:xfrm>
          <a:off x="58614" y="17250020"/>
          <a:ext cx="3912578" cy="7681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 baseline="0"/>
            <a:t>Odhad rezervy vyjadrený v miliónoch eur, ktorou by poisťovňa mala disponovať na konci roku 2015, aby bola schopná plniť svoje záväzky v nasledujúcich piatich rokoch (plynúcich z poistných udalostí nahlásených v rokoch 2010 až 2015) = </a:t>
          </a:r>
        </a:p>
        <a:p>
          <a:r>
            <a:rPr lang="sk-SK" sz="900" b="1" baseline="0"/>
            <a:t>= suma prvkov v stĺpci [5]</a:t>
          </a:r>
        </a:p>
      </xdr:txBody>
    </xdr:sp>
    <xdr:clientData/>
  </xdr:twoCellAnchor>
  <xdr:twoCellAnchor>
    <xdr:from>
      <xdr:col>9</xdr:col>
      <xdr:colOff>0</xdr:colOff>
      <xdr:row>64</xdr:row>
      <xdr:rowOff>0</xdr:rowOff>
    </xdr:from>
    <xdr:to>
      <xdr:col>13</xdr:col>
      <xdr:colOff>166688</xdr:colOff>
      <xdr:row>69</xdr:row>
      <xdr:rowOff>158750</xdr:rowOff>
    </xdr:to>
    <xdr:sp macro="" textlink="">
      <xdr:nvSpPr>
        <xdr:cNvPr id="15" name="BlokTextu 14">
          <a:extLst>
            <a:ext uri="{FF2B5EF4-FFF2-40B4-BE49-F238E27FC236}">
              <a16:creationId xmlns:a16="http://schemas.microsoft.com/office/drawing/2014/main" id="{885583E3-7513-4BDF-B106-36D9CE2E44B6}"/>
            </a:ext>
          </a:extLst>
        </xdr:cNvPr>
        <xdr:cNvSpPr txBox="1"/>
      </xdr:nvSpPr>
      <xdr:spPr>
        <a:xfrm>
          <a:off x="7159625" y="10239375"/>
          <a:ext cx="2611438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/>
            <a:t>celkový škodový priebeh</a:t>
          </a:r>
          <a:r>
            <a:rPr lang="sk-SK" sz="900" baseline="0"/>
            <a:t> </a:t>
          </a:r>
          <a:r>
            <a:rPr lang="sk-SK" sz="900"/>
            <a:t>(počítaný na jednotku zaslúženého poistného)</a:t>
          </a:r>
          <a:r>
            <a:rPr lang="sk-SK" sz="900" baseline="0"/>
            <a:t> v jednotlivých rokoch vzniku počítame ako sumu relatívnych škodových priebehov cez jednotlivé roky vývoja</a:t>
          </a:r>
          <a:endParaRPr lang="sk-SK" sz="900"/>
        </a:p>
      </xdr:txBody>
    </xdr:sp>
    <xdr:clientData/>
  </xdr:twoCellAnchor>
  <xdr:twoCellAnchor>
    <xdr:from>
      <xdr:col>8</xdr:col>
      <xdr:colOff>182562</xdr:colOff>
      <xdr:row>65</xdr:row>
      <xdr:rowOff>134938</xdr:rowOff>
    </xdr:from>
    <xdr:to>
      <xdr:col>8</xdr:col>
      <xdr:colOff>706438</xdr:colOff>
      <xdr:row>66</xdr:row>
      <xdr:rowOff>119063</xdr:rowOff>
    </xdr:to>
    <xdr:cxnSp macro="">
      <xdr:nvCxnSpPr>
        <xdr:cNvPr id="16" name="Rovná spojovacia šípka 15">
          <a:extLst>
            <a:ext uri="{FF2B5EF4-FFF2-40B4-BE49-F238E27FC236}">
              <a16:creationId xmlns:a16="http://schemas.microsoft.com/office/drawing/2014/main" id="{EE2E5324-9800-4E5C-B91C-B8CF0BC1013C}"/>
            </a:ext>
          </a:extLst>
        </xdr:cNvPr>
        <xdr:cNvCxnSpPr/>
      </xdr:nvCxnSpPr>
      <xdr:spPr>
        <a:xfrm flipH="1">
          <a:off x="6619875" y="10533063"/>
          <a:ext cx="523876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225301</xdr:colOff>
      <xdr:row>86</xdr:row>
      <xdr:rowOff>17707</xdr:rowOff>
    </xdr:from>
    <xdr:to>
      <xdr:col>5</xdr:col>
      <xdr:colOff>738187</xdr:colOff>
      <xdr:row>90</xdr:row>
      <xdr:rowOff>150812</xdr:rowOff>
    </xdr:to>
    <xdr:sp macro="" textlink="">
      <xdr:nvSpPr>
        <xdr:cNvPr id="7" name="BlokTextu 6">
          <a:extLst>
            <a:ext uri="{FF2B5EF4-FFF2-40B4-BE49-F238E27FC236}">
              <a16:creationId xmlns:a16="http://schemas.microsoft.com/office/drawing/2014/main" id="{224B1566-37B5-4101-ADCB-B2299B9281E1}"/>
            </a:ext>
          </a:extLst>
        </xdr:cNvPr>
        <xdr:cNvSpPr txBox="1"/>
      </xdr:nvSpPr>
      <xdr:spPr>
        <a:xfrm>
          <a:off x="225301" y="17607207"/>
          <a:ext cx="4561011" cy="7681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 baseline="0"/>
            <a:t>Odhad rezervy vyjadrený v miliónoch eur, ktorou by poisťovňa mala disponovať na konci roku 2015, aby bola schopná plniť svoje záväzky v nasledujúcich piatich rokoch (plynúcich z poistných udalostí nahlásených v rokoch 2010 až 2015) = </a:t>
          </a:r>
        </a:p>
        <a:p>
          <a:r>
            <a:rPr lang="sk-SK" sz="900" b="1" baseline="0"/>
            <a:t>= suma odhadnutých prvkov v dolnom trojuholníku</a:t>
          </a:r>
        </a:p>
      </xdr:txBody>
    </xdr:sp>
    <xdr:clientData/>
  </xdr:twoCellAnchor>
  <xdr:twoCellAnchor>
    <xdr:from>
      <xdr:col>3</xdr:col>
      <xdr:colOff>428625</xdr:colOff>
      <xdr:row>64</xdr:row>
      <xdr:rowOff>47625</xdr:rowOff>
    </xdr:from>
    <xdr:to>
      <xdr:col>4</xdr:col>
      <xdr:colOff>785813</xdr:colOff>
      <xdr:row>67</xdr:row>
      <xdr:rowOff>97690</xdr:rowOff>
    </xdr:to>
    <xdr:cxnSp macro="">
      <xdr:nvCxnSpPr>
        <xdr:cNvPr id="10" name="Rovná spojovacia šípka 9">
          <a:extLst>
            <a:ext uri="{FF2B5EF4-FFF2-40B4-BE49-F238E27FC236}">
              <a16:creationId xmlns:a16="http://schemas.microsoft.com/office/drawing/2014/main" id="{FE434BF6-28BC-46D5-BB04-0299641D6415}"/>
            </a:ext>
          </a:extLst>
        </xdr:cNvPr>
        <xdr:cNvCxnSpPr>
          <a:stCxn id="11" idx="0"/>
        </xdr:cNvCxnSpPr>
      </xdr:nvCxnSpPr>
      <xdr:spPr>
        <a:xfrm flipH="1" flipV="1">
          <a:off x="2857500" y="13446125"/>
          <a:ext cx="1166813" cy="8596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39688</xdr:colOff>
      <xdr:row>67</xdr:row>
      <xdr:rowOff>97690</xdr:rowOff>
    </xdr:from>
    <xdr:to>
      <xdr:col>5</xdr:col>
      <xdr:colOff>722313</xdr:colOff>
      <xdr:row>72</xdr:row>
      <xdr:rowOff>119061</xdr:rowOff>
    </xdr:to>
    <xdr:sp macro="" textlink="">
      <xdr:nvSpPr>
        <xdr:cNvPr id="11" name="BlokTextu 10">
          <a:extLst>
            <a:ext uri="{FF2B5EF4-FFF2-40B4-BE49-F238E27FC236}">
              <a16:creationId xmlns:a16="http://schemas.microsoft.com/office/drawing/2014/main" id="{FF9BC832-9DBD-45ED-92CB-D3B9F20E4DAB}"/>
            </a:ext>
          </a:extLst>
        </xdr:cNvPr>
        <xdr:cNvSpPr txBox="1"/>
      </xdr:nvSpPr>
      <xdr:spPr>
        <a:xfrm>
          <a:off x="3278188" y="14147065"/>
          <a:ext cx="1492250" cy="9341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/>
            <a:t>postupujeme od spodku smerom nahor, t. j. v</a:t>
          </a:r>
          <a:r>
            <a:rPr lang="sk-SK" sz="900" baseline="0"/>
            <a:t> poradí </a:t>
          </a:r>
          <a:r>
            <a:rPr lang="sk-SK" sz="900" i="1" baseline="0"/>
            <a:t>n</a:t>
          </a:r>
          <a:r>
            <a:rPr lang="sk-SK" sz="900" baseline="0"/>
            <a:t>, </a:t>
          </a:r>
          <a:r>
            <a:rPr lang="sk-SK" sz="900" i="1" baseline="0"/>
            <a:t>n</a:t>
          </a:r>
          <a:r>
            <a:rPr lang="sk-SK" sz="900" baseline="0"/>
            <a:t>-1, </a:t>
          </a:r>
          <a:r>
            <a:rPr lang="sk-SK" sz="900" i="1" baseline="0"/>
            <a:t>n</a:t>
          </a:r>
          <a:r>
            <a:rPr lang="sk-SK" sz="900" baseline="0"/>
            <a:t>-2, ..., 1, 0,</a:t>
          </a:r>
        </a:p>
        <a:p>
          <a:r>
            <a:rPr lang="sk-SK" sz="900" baseline="0"/>
            <a:t>teda v poradí:  </a:t>
          </a:r>
        </a:p>
        <a:p>
          <a:r>
            <a:rPr lang="sk-SK" sz="900" i="1" baseline="0"/>
            <a:t>i, j</a:t>
          </a:r>
          <a:r>
            <a:rPr lang="sk-SK" sz="900" baseline="0"/>
            <a:t> = 5, 4, 3, 2, 1, 0.</a:t>
          </a:r>
          <a:endParaRPr lang="sk-SK" sz="900"/>
        </a:p>
      </xdr:txBody>
    </xdr:sp>
    <xdr:clientData/>
  </xdr:twoCellAnchor>
  <xdr:twoCellAnchor>
    <xdr:from>
      <xdr:col>4</xdr:col>
      <xdr:colOff>476250</xdr:colOff>
      <xdr:row>64</xdr:row>
      <xdr:rowOff>47625</xdr:rowOff>
    </xdr:from>
    <xdr:to>
      <xdr:col>4</xdr:col>
      <xdr:colOff>785813</xdr:colOff>
      <xdr:row>67</xdr:row>
      <xdr:rowOff>97690</xdr:rowOff>
    </xdr:to>
    <xdr:cxnSp macro="">
      <xdr:nvCxnSpPr>
        <xdr:cNvPr id="12" name="Rovná spojovacia šípka 11">
          <a:extLst>
            <a:ext uri="{FF2B5EF4-FFF2-40B4-BE49-F238E27FC236}">
              <a16:creationId xmlns:a16="http://schemas.microsoft.com/office/drawing/2014/main" id="{B2665768-6024-48BA-8EB4-55BDFB1BD615}"/>
            </a:ext>
          </a:extLst>
        </xdr:cNvPr>
        <xdr:cNvCxnSpPr>
          <a:stCxn id="11" idx="0"/>
        </xdr:cNvCxnSpPr>
      </xdr:nvCxnSpPr>
      <xdr:spPr>
        <a:xfrm flipH="1" flipV="1">
          <a:off x="3714750" y="13446125"/>
          <a:ext cx="309563" cy="8596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121227</xdr:colOff>
      <xdr:row>118</xdr:row>
      <xdr:rowOff>8659</xdr:rowOff>
    </xdr:from>
    <xdr:to>
      <xdr:col>11</xdr:col>
      <xdr:colOff>642772</xdr:colOff>
      <xdr:row>122</xdr:row>
      <xdr:rowOff>141765</xdr:rowOff>
    </xdr:to>
    <xdr:sp macro="" textlink="">
      <xdr:nvSpPr>
        <xdr:cNvPr id="6" name="BlokTextu 5">
          <a:extLst>
            <a:ext uri="{FF2B5EF4-FFF2-40B4-BE49-F238E27FC236}">
              <a16:creationId xmlns:a16="http://schemas.microsoft.com/office/drawing/2014/main" id="{416FD43B-48B1-4950-A17A-B8B4AFE95801}"/>
            </a:ext>
          </a:extLst>
        </xdr:cNvPr>
        <xdr:cNvSpPr txBox="1"/>
      </xdr:nvSpPr>
      <xdr:spPr>
        <a:xfrm>
          <a:off x="5004954" y="24574500"/>
          <a:ext cx="4582659" cy="8258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900" baseline="0"/>
            <a:t>Odhad rezervy vyjadrený v miliónoch eur po diskontovaní, ktorou by poisťovňa mala disponovať na konci roku 2015, aby bola schopná plniť svoje záväzky v nasledujúcich piatich rokoch (plynúcich z poistných udalostí nahlásených v rokoch 2010 až 2015)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ekumulativny_trojuholnik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ekumulativny_trojuholnik" connectionId="1" xr16:uid="{00000000-0016-0000-0100-000001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ekumulativny_trojuholnik" connectionId="1" xr16:uid="{00000000-0016-0000-0200-000002000000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ekumulativny_trojuholnik" connectionId="1" xr16:uid="{00000000-0016-0000-0300-000003000000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ekumulativny_trojuholnik" connectionId="1" xr16:uid="{00000000-0016-0000-0400-000004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1"/>
  <sheetViews>
    <sheetView tabSelected="1" zoomScaleNormal="100" workbookViewId="0">
      <selection sqref="A1:G1"/>
    </sheetView>
  </sheetViews>
  <sheetFormatPr defaultRowHeight="12.75" x14ac:dyDescent="0.2"/>
  <cols>
    <col min="1" max="3" width="12.140625" customWidth="1"/>
    <col min="4" max="5" width="12.140625" style="1" customWidth="1"/>
    <col min="6" max="6" width="12.140625" customWidth="1"/>
    <col min="7" max="7" width="12.85546875" customWidth="1"/>
    <col min="8" max="9" width="10.85546875" customWidth="1"/>
  </cols>
  <sheetData>
    <row r="1" spans="1:7" ht="32.450000000000003" customHeight="1" x14ac:dyDescent="0.2">
      <c r="A1" s="337" t="s">
        <v>89</v>
      </c>
      <c r="B1" s="338"/>
      <c r="C1" s="338"/>
      <c r="D1" s="338"/>
      <c r="E1" s="338"/>
      <c r="F1" s="338"/>
      <c r="G1" s="338"/>
    </row>
    <row r="2" spans="1:7" ht="20.45" customHeight="1" x14ac:dyDescent="0.2">
      <c r="A2" s="339" t="s">
        <v>20</v>
      </c>
      <c r="B2" s="339"/>
      <c r="C2" s="339"/>
      <c r="D2" s="339"/>
      <c r="E2" s="339"/>
      <c r="F2" s="339"/>
      <c r="G2" s="339"/>
    </row>
    <row r="3" spans="1:7" ht="28.5" customHeight="1" x14ac:dyDescent="0.2">
      <c r="A3" s="339" t="s">
        <v>0</v>
      </c>
      <c r="B3" s="339"/>
      <c r="C3" s="339"/>
      <c r="D3" s="339"/>
      <c r="E3" s="339"/>
      <c r="F3" s="339"/>
      <c r="G3" s="339"/>
    </row>
    <row r="4" spans="1:7" ht="12.75" customHeight="1" x14ac:dyDescent="0.2">
      <c r="A4" s="2"/>
      <c r="B4" s="2"/>
      <c r="C4" s="2"/>
      <c r="D4" s="2"/>
      <c r="E4" s="2"/>
    </row>
    <row r="6" spans="1:7" ht="31.5" customHeight="1" x14ac:dyDescent="0.2">
      <c r="A6" s="340" t="s">
        <v>3</v>
      </c>
      <c r="B6" s="340"/>
      <c r="C6" s="340"/>
      <c r="D6" s="340"/>
      <c r="E6" s="340"/>
      <c r="F6" s="340"/>
      <c r="G6" s="340"/>
    </row>
    <row r="7" spans="1:7" ht="15.75" customHeight="1" x14ac:dyDescent="0.2"/>
    <row r="8" spans="1:7" ht="13.5" thickBot="1" x14ac:dyDescent="0.25">
      <c r="A8" s="341" t="s">
        <v>25</v>
      </c>
      <c r="B8" s="341"/>
      <c r="C8" s="341"/>
      <c r="D8" s="341"/>
      <c r="E8" s="341"/>
      <c r="F8" s="341"/>
      <c r="G8" s="341"/>
    </row>
    <row r="9" spans="1:7" ht="13.5" thickBot="1" x14ac:dyDescent="0.25">
      <c r="A9" s="36"/>
      <c r="B9" s="335" t="s">
        <v>2</v>
      </c>
      <c r="C9" s="335"/>
      <c r="D9" s="335"/>
      <c r="E9" s="335"/>
      <c r="F9" s="335"/>
      <c r="G9" s="336"/>
    </row>
    <row r="10" spans="1:7" ht="13.5" thickBot="1" x14ac:dyDescent="0.25">
      <c r="A10" s="27" t="s">
        <v>1</v>
      </c>
      <c r="B10" s="6">
        <v>0</v>
      </c>
      <c r="C10" s="4">
        <v>1</v>
      </c>
      <c r="D10" s="4">
        <v>2</v>
      </c>
      <c r="E10" s="4">
        <v>3</v>
      </c>
      <c r="F10" s="4">
        <v>4</v>
      </c>
      <c r="G10" s="5">
        <v>5</v>
      </c>
    </row>
    <row r="11" spans="1:7" x14ac:dyDescent="0.2">
      <c r="A11" s="7">
        <v>2010</v>
      </c>
      <c r="B11" s="40">
        <v>9</v>
      </c>
      <c r="C11" s="41">
        <v>12</v>
      </c>
      <c r="D11" s="41">
        <v>10</v>
      </c>
      <c r="E11" s="41">
        <v>11</v>
      </c>
      <c r="F11" s="41">
        <v>8</v>
      </c>
      <c r="G11" s="42">
        <v>0</v>
      </c>
    </row>
    <row r="12" spans="1:7" x14ac:dyDescent="0.2">
      <c r="A12" s="7">
        <v>2011</v>
      </c>
      <c r="B12" s="43">
        <v>13</v>
      </c>
      <c r="C12" s="44">
        <v>15</v>
      </c>
      <c r="D12" s="44">
        <v>8</v>
      </c>
      <c r="E12" s="44">
        <v>10</v>
      </c>
      <c r="F12" s="44">
        <v>14</v>
      </c>
      <c r="G12" s="45"/>
    </row>
    <row r="13" spans="1:7" x14ac:dyDescent="0.2">
      <c r="A13" s="7">
        <v>2012</v>
      </c>
      <c r="B13" s="43">
        <v>14</v>
      </c>
      <c r="C13" s="44">
        <v>15</v>
      </c>
      <c r="D13" s="44">
        <v>15</v>
      </c>
      <c r="E13" s="44">
        <v>16</v>
      </c>
      <c r="F13" s="44"/>
      <c r="G13" s="45"/>
    </row>
    <row r="14" spans="1:7" x14ac:dyDescent="0.2">
      <c r="A14" s="7">
        <v>2013</v>
      </c>
      <c r="B14" s="43">
        <v>16</v>
      </c>
      <c r="C14" s="44">
        <v>8</v>
      </c>
      <c r="D14" s="44">
        <v>18</v>
      </c>
      <c r="E14" s="44"/>
      <c r="F14" s="44"/>
      <c r="G14" s="45"/>
    </row>
    <row r="15" spans="1:7" x14ac:dyDescent="0.2">
      <c r="A15" s="7">
        <v>2014</v>
      </c>
      <c r="B15" s="43">
        <v>12</v>
      </c>
      <c r="C15" s="44">
        <v>14</v>
      </c>
      <c r="D15" s="44"/>
      <c r="E15" s="44"/>
      <c r="F15" s="44"/>
      <c r="G15" s="45"/>
    </row>
    <row r="16" spans="1:7" ht="13.5" thickBot="1" x14ac:dyDescent="0.25">
      <c r="A16" s="8">
        <v>2015</v>
      </c>
      <c r="B16" s="46">
        <v>11</v>
      </c>
      <c r="C16" s="47"/>
      <c r="D16" s="47"/>
      <c r="E16" s="47"/>
      <c r="F16" s="47"/>
      <c r="G16" s="48"/>
    </row>
    <row r="19" spans="1:7" ht="13.5" thickBot="1" x14ac:dyDescent="0.25">
      <c r="A19" s="341" t="s">
        <v>26</v>
      </c>
      <c r="B19" s="341"/>
      <c r="C19" s="341"/>
      <c r="D19" s="341"/>
      <c r="E19" s="341"/>
      <c r="F19" s="341"/>
      <c r="G19" s="341"/>
    </row>
    <row r="20" spans="1:7" ht="13.5" thickBot="1" x14ac:dyDescent="0.25">
      <c r="A20" s="36"/>
      <c r="B20" s="335" t="s">
        <v>2</v>
      </c>
      <c r="C20" s="335"/>
      <c r="D20" s="335"/>
      <c r="E20" s="335"/>
      <c r="F20" s="335"/>
      <c r="G20" s="336"/>
    </row>
    <row r="21" spans="1:7" ht="13.5" thickBot="1" x14ac:dyDescent="0.25">
      <c r="A21" s="27" t="s">
        <v>1</v>
      </c>
      <c r="B21" s="6">
        <v>0</v>
      </c>
      <c r="C21" s="4">
        <v>1</v>
      </c>
      <c r="D21" s="4">
        <v>2</v>
      </c>
      <c r="E21" s="4">
        <v>3</v>
      </c>
      <c r="F21" s="4">
        <v>4</v>
      </c>
      <c r="G21" s="5">
        <v>5</v>
      </c>
    </row>
    <row r="22" spans="1:7" x14ac:dyDescent="0.2">
      <c r="A22" s="7">
        <v>2010</v>
      </c>
      <c r="B22" s="40">
        <f>SUM($B11:B11)</f>
        <v>9</v>
      </c>
      <c r="C22" s="41">
        <f>SUM($B11:C11)</f>
        <v>21</v>
      </c>
      <c r="D22" s="41">
        <f>SUM($B11:D11)</f>
        <v>31</v>
      </c>
      <c r="E22" s="41">
        <f>SUM($B11:E11)</f>
        <v>42</v>
      </c>
      <c r="F22" s="41">
        <f>SUM($B11:F11)</f>
        <v>50</v>
      </c>
      <c r="G22" s="42">
        <f>SUM($B11:G11)</f>
        <v>50</v>
      </c>
    </row>
    <row r="23" spans="1:7" x14ac:dyDescent="0.2">
      <c r="A23" s="7">
        <v>2011</v>
      </c>
      <c r="B23" s="43">
        <f>SUM($B12:B12)</f>
        <v>13</v>
      </c>
      <c r="C23" s="44">
        <f>SUM($B12:C12)</f>
        <v>28</v>
      </c>
      <c r="D23" s="44">
        <f>SUM($B12:D12)</f>
        <v>36</v>
      </c>
      <c r="E23" s="44">
        <f>SUM($B12:E12)</f>
        <v>46</v>
      </c>
      <c r="F23" s="44">
        <f>SUM($B12:F12)</f>
        <v>60</v>
      </c>
      <c r="G23" s="45"/>
    </row>
    <row r="24" spans="1:7" x14ac:dyDescent="0.2">
      <c r="A24" s="7">
        <v>2012</v>
      </c>
      <c r="B24" s="43">
        <f>SUM($B13:B13)</f>
        <v>14</v>
      </c>
      <c r="C24" s="44">
        <f>SUM($B13:C13)</f>
        <v>29</v>
      </c>
      <c r="D24" s="44">
        <f>SUM($B13:D13)</f>
        <v>44</v>
      </c>
      <c r="E24" s="44">
        <f>SUM($B13:E13)</f>
        <v>60</v>
      </c>
      <c r="F24" s="44"/>
      <c r="G24" s="45"/>
    </row>
    <row r="25" spans="1:7" x14ac:dyDescent="0.2">
      <c r="A25" s="7">
        <v>2013</v>
      </c>
      <c r="B25" s="43">
        <f>SUM($B14:B14)</f>
        <v>16</v>
      </c>
      <c r="C25" s="44">
        <f>SUM($B14:C14)</f>
        <v>24</v>
      </c>
      <c r="D25" s="44">
        <f>SUM($B14:D14)</f>
        <v>42</v>
      </c>
      <c r="E25" s="44"/>
      <c r="F25" s="44"/>
      <c r="G25" s="45"/>
    </row>
    <row r="26" spans="1:7" x14ac:dyDescent="0.2">
      <c r="A26" s="7">
        <v>2014</v>
      </c>
      <c r="B26" s="43">
        <f>SUM($B15:B15)</f>
        <v>12</v>
      </c>
      <c r="C26" s="44">
        <f>SUM($B15:C15)</f>
        <v>26</v>
      </c>
      <c r="D26" s="44"/>
      <c r="E26" s="44"/>
      <c r="F26" s="44"/>
      <c r="G26" s="45"/>
    </row>
    <row r="27" spans="1:7" ht="13.5" thickBot="1" x14ac:dyDescent="0.25">
      <c r="A27" s="8">
        <v>2015</v>
      </c>
      <c r="B27" s="46">
        <f>SUM($B16:B16)</f>
        <v>11</v>
      </c>
      <c r="C27" s="47"/>
      <c r="D27" s="47"/>
      <c r="E27" s="47"/>
      <c r="F27" s="47"/>
      <c r="G27" s="48"/>
    </row>
    <row r="30" spans="1:7" ht="25.5" customHeight="1" thickBot="1" x14ac:dyDescent="0.25">
      <c r="A30" s="342" t="s">
        <v>5</v>
      </c>
      <c r="B30" s="342"/>
      <c r="C30" s="342"/>
      <c r="D30" s="342"/>
      <c r="E30" s="10"/>
      <c r="F30" s="10"/>
      <c r="G30" s="10"/>
    </row>
    <row r="31" spans="1:7" ht="25.5" x14ac:dyDescent="0.2">
      <c r="A31" s="27" t="s">
        <v>29</v>
      </c>
      <c r="B31" s="28" t="s">
        <v>6</v>
      </c>
      <c r="C31" s="37" t="s">
        <v>7</v>
      </c>
      <c r="D31" s="38" t="s">
        <v>8</v>
      </c>
      <c r="E31" s="11"/>
      <c r="F31" s="11"/>
      <c r="G31" s="11"/>
    </row>
    <row r="32" spans="1:7" x14ac:dyDescent="0.2">
      <c r="A32" s="15">
        <v>2011</v>
      </c>
      <c r="B32" s="16">
        <f>SUM(G$22:G22)/SUM(F$22:F22)</f>
        <v>1</v>
      </c>
      <c r="C32" s="29">
        <f>PRODUCT(B$32:B32)</f>
        <v>1</v>
      </c>
      <c r="D32" s="30">
        <f>1/C32</f>
        <v>1</v>
      </c>
      <c r="F32" s="1"/>
      <c r="G32" s="1"/>
    </row>
    <row r="33" spans="1:7" x14ac:dyDescent="0.2">
      <c r="A33" s="7">
        <v>2012</v>
      </c>
      <c r="B33" s="14">
        <f>SUM(F$22:F23)/SUM(E$22:E23)</f>
        <v>1.25</v>
      </c>
      <c r="C33" s="31">
        <f>PRODUCT(B$32:B33)</f>
        <v>1.25</v>
      </c>
      <c r="D33" s="32">
        <f>1/C33</f>
        <v>0.8</v>
      </c>
      <c r="F33" s="1"/>
      <c r="G33" s="1"/>
    </row>
    <row r="34" spans="1:7" x14ac:dyDescent="0.2">
      <c r="A34" s="7">
        <v>2013</v>
      </c>
      <c r="B34" s="14">
        <f>SUM(E$22:E24)/SUM(D$22:D24)</f>
        <v>1.3333333333333333</v>
      </c>
      <c r="C34" s="31">
        <f>PRODUCT(B$32:B34)</f>
        <v>1.6666666666666665</v>
      </c>
      <c r="D34" s="32">
        <f>1/C34</f>
        <v>0.60000000000000009</v>
      </c>
      <c r="F34" s="1"/>
      <c r="G34" s="1"/>
    </row>
    <row r="35" spans="1:7" x14ac:dyDescent="0.2">
      <c r="A35" s="7">
        <v>2014</v>
      </c>
      <c r="B35" s="14">
        <f>SUM(D$22:D25)/SUM(C$22:C25)</f>
        <v>1.5</v>
      </c>
      <c r="C35" s="31">
        <f>PRODUCT(B$32:B35)</f>
        <v>2.5</v>
      </c>
      <c r="D35" s="32">
        <f>1/C35</f>
        <v>0.4</v>
      </c>
      <c r="F35" s="1"/>
      <c r="G35" s="1"/>
    </row>
    <row r="36" spans="1:7" ht="13.5" thickBot="1" x14ac:dyDescent="0.25">
      <c r="A36" s="8">
        <v>2015</v>
      </c>
      <c r="B36" s="12">
        <f>SUM(C$22:C26)/SUM(B$22:B26)</f>
        <v>2</v>
      </c>
      <c r="C36" s="33">
        <f>PRODUCT(B$32:B36)</f>
        <v>5</v>
      </c>
      <c r="D36" s="34">
        <f>1/C36</f>
        <v>0.2</v>
      </c>
      <c r="F36" s="1"/>
      <c r="G36" s="1"/>
    </row>
    <row r="39" spans="1:7" x14ac:dyDescent="0.2">
      <c r="D39" s="19"/>
    </row>
    <row r="46" spans="1:7" ht="18.75" customHeight="1" x14ac:dyDescent="0.2"/>
    <row r="47" spans="1:7" ht="13.5" thickBot="1" x14ac:dyDescent="0.25">
      <c r="A47" s="341" t="s">
        <v>27</v>
      </c>
      <c r="B47" s="341"/>
      <c r="C47" s="341"/>
      <c r="D47" s="341"/>
      <c r="E47" s="341"/>
      <c r="F47" s="341"/>
      <c r="G47" s="341"/>
    </row>
    <row r="48" spans="1:7" ht="13.5" thickBot="1" x14ac:dyDescent="0.25">
      <c r="A48" s="36"/>
      <c r="B48" s="335" t="s">
        <v>2</v>
      </c>
      <c r="C48" s="335"/>
      <c r="D48" s="335"/>
      <c r="E48" s="335"/>
      <c r="F48" s="335"/>
      <c r="G48" s="336"/>
    </row>
    <row r="49" spans="1:7" ht="13.5" thickBot="1" x14ac:dyDescent="0.25">
      <c r="A49" s="27" t="s">
        <v>1</v>
      </c>
      <c r="B49" s="6">
        <v>0</v>
      </c>
      <c r="C49" s="4">
        <v>1</v>
      </c>
      <c r="D49" s="4">
        <v>2</v>
      </c>
      <c r="E49" s="4">
        <v>3</v>
      </c>
      <c r="F49" s="4">
        <v>4</v>
      </c>
      <c r="G49" s="5">
        <v>5</v>
      </c>
    </row>
    <row r="50" spans="1:7" x14ac:dyDescent="0.2">
      <c r="A50" s="7">
        <v>2010</v>
      </c>
      <c r="B50" s="40">
        <f>$B$22</f>
        <v>9</v>
      </c>
      <c r="C50" s="40">
        <f>$C$22</f>
        <v>21</v>
      </c>
      <c r="D50" s="40">
        <f t="shared" ref="D50:G50" si="0">D22</f>
        <v>31</v>
      </c>
      <c r="E50" s="40">
        <f t="shared" si="0"/>
        <v>42</v>
      </c>
      <c r="F50" s="40">
        <f t="shared" si="0"/>
        <v>50</v>
      </c>
      <c r="G50" s="63">
        <f t="shared" si="0"/>
        <v>50</v>
      </c>
    </row>
    <row r="51" spans="1:7" x14ac:dyDescent="0.2">
      <c r="A51" s="7">
        <v>2011</v>
      </c>
      <c r="B51" s="40">
        <f>$B$23</f>
        <v>13</v>
      </c>
      <c r="C51" s="40">
        <f>C23</f>
        <v>28</v>
      </c>
      <c r="D51" s="40">
        <f>D23</f>
        <v>36</v>
      </c>
      <c r="E51" s="40">
        <f>E23</f>
        <v>46</v>
      </c>
      <c r="F51" s="64">
        <f>F23</f>
        <v>60</v>
      </c>
      <c r="G51" s="65">
        <f>F51*B32</f>
        <v>60</v>
      </c>
    </row>
    <row r="52" spans="1:7" x14ac:dyDescent="0.2">
      <c r="A52" s="7">
        <v>2012</v>
      </c>
      <c r="B52" s="40">
        <f>$B$24</f>
        <v>14</v>
      </c>
      <c r="C52" s="40">
        <f>C24</f>
        <v>29</v>
      </c>
      <c r="D52" s="40">
        <f>D24</f>
        <v>44</v>
      </c>
      <c r="E52" s="64">
        <f>E24</f>
        <v>60</v>
      </c>
      <c r="F52" s="66">
        <f>E52*B33</f>
        <v>75</v>
      </c>
      <c r="G52" s="65">
        <f>F52*B32</f>
        <v>75</v>
      </c>
    </row>
    <row r="53" spans="1:7" x14ac:dyDescent="0.2">
      <c r="A53" s="7">
        <v>2013</v>
      </c>
      <c r="B53" s="40">
        <f>$B$25</f>
        <v>16</v>
      </c>
      <c r="C53" s="40">
        <f>C25</f>
        <v>24</v>
      </c>
      <c r="D53" s="64">
        <f>D25</f>
        <v>42</v>
      </c>
      <c r="E53" s="66">
        <f>D53*B34</f>
        <v>56</v>
      </c>
      <c r="F53" s="66">
        <f>E53*B33</f>
        <v>70</v>
      </c>
      <c r="G53" s="65">
        <f>F53*B32</f>
        <v>70</v>
      </c>
    </row>
    <row r="54" spans="1:7" x14ac:dyDescent="0.2">
      <c r="A54" s="7">
        <v>2014</v>
      </c>
      <c r="B54" s="40">
        <f>$B$26</f>
        <v>12</v>
      </c>
      <c r="C54" s="64">
        <f>C26</f>
        <v>26</v>
      </c>
      <c r="D54" s="66">
        <f>C54*B35</f>
        <v>39</v>
      </c>
      <c r="E54" s="66">
        <f>D54*B34</f>
        <v>52</v>
      </c>
      <c r="F54" s="66">
        <f>E54*B33</f>
        <v>65</v>
      </c>
      <c r="G54" s="65">
        <f>F54*B32</f>
        <v>65</v>
      </c>
    </row>
    <row r="55" spans="1:7" ht="13.5" thickBot="1" x14ac:dyDescent="0.25">
      <c r="A55" s="8">
        <v>2015</v>
      </c>
      <c r="B55" s="67">
        <f>$B$27</f>
        <v>11</v>
      </c>
      <c r="C55" s="68">
        <f>B55*B36</f>
        <v>22</v>
      </c>
      <c r="D55" s="68">
        <f>C55*B35</f>
        <v>33</v>
      </c>
      <c r="E55" s="68">
        <f>D55*B34</f>
        <v>44</v>
      </c>
      <c r="F55" s="68">
        <f>E55*B33</f>
        <v>55</v>
      </c>
      <c r="G55" s="69">
        <f>F55*B32</f>
        <v>55</v>
      </c>
    </row>
    <row r="56" spans="1:7" ht="15" x14ac:dyDescent="0.2">
      <c r="C56" s="343" t="s">
        <v>36</v>
      </c>
      <c r="D56" s="343"/>
      <c r="E56" s="343"/>
      <c r="F56" s="343"/>
      <c r="G56" s="70">
        <f>SUM(G50:G55)</f>
        <v>375</v>
      </c>
    </row>
    <row r="64" spans="1:7" ht="15" x14ac:dyDescent="0.2">
      <c r="E64" s="70">
        <f>B55+C54+D53+E52+F51+G50</f>
        <v>249</v>
      </c>
    </row>
    <row r="70" spans="1:7" ht="15" x14ac:dyDescent="0.2">
      <c r="F70" s="70">
        <f>G56-E64</f>
        <v>126</v>
      </c>
    </row>
    <row r="76" spans="1:7" ht="26.25" customHeight="1" thickBot="1" x14ac:dyDescent="0.25">
      <c r="A76" s="341" t="s">
        <v>22</v>
      </c>
      <c r="B76" s="341"/>
      <c r="C76" s="341"/>
      <c r="D76" s="341"/>
      <c r="E76" s="341"/>
      <c r="F76" s="341"/>
      <c r="G76" s="341"/>
    </row>
    <row r="77" spans="1:7" ht="13.5" thickBot="1" x14ac:dyDescent="0.25">
      <c r="A77" s="36"/>
      <c r="B77" s="335" t="s">
        <v>2</v>
      </c>
      <c r="C77" s="335"/>
      <c r="D77" s="335"/>
      <c r="E77" s="335"/>
      <c r="F77" s="335"/>
      <c r="G77" s="336"/>
    </row>
    <row r="78" spans="1:7" ht="13.5" thickBot="1" x14ac:dyDescent="0.25">
      <c r="A78" s="27" t="s">
        <v>1</v>
      </c>
      <c r="B78" s="6">
        <v>0</v>
      </c>
      <c r="C78" s="4">
        <v>1</v>
      </c>
      <c r="D78" s="4">
        <v>2</v>
      </c>
      <c r="E78" s="4">
        <v>3</v>
      </c>
      <c r="F78" s="4">
        <v>4</v>
      </c>
      <c r="G78" s="5">
        <v>5</v>
      </c>
    </row>
    <row r="79" spans="1:7" x14ac:dyDescent="0.2">
      <c r="A79" s="7">
        <v>2010</v>
      </c>
      <c r="B79" s="40">
        <f t="shared" ref="B79:B84" si="1">B50</f>
        <v>9</v>
      </c>
      <c r="C79" s="40">
        <f>C50-B50</f>
        <v>12</v>
      </c>
      <c r="D79" s="40">
        <f t="shared" ref="D79:G79" si="2">D50-C50</f>
        <v>10</v>
      </c>
      <c r="E79" s="40">
        <f t="shared" si="2"/>
        <v>11</v>
      </c>
      <c r="F79" s="40">
        <f t="shared" si="2"/>
        <v>8</v>
      </c>
      <c r="G79" s="63">
        <f t="shared" si="2"/>
        <v>0</v>
      </c>
    </row>
    <row r="80" spans="1:7" x14ac:dyDescent="0.2">
      <c r="A80" s="7">
        <v>2011</v>
      </c>
      <c r="B80" s="40">
        <f t="shared" si="1"/>
        <v>13</v>
      </c>
      <c r="C80" s="40">
        <f t="shared" ref="C80:G84" si="3">C51-B51</f>
        <v>15</v>
      </c>
      <c r="D80" s="40">
        <f t="shared" si="3"/>
        <v>8</v>
      </c>
      <c r="E80" s="40">
        <f t="shared" si="3"/>
        <v>10</v>
      </c>
      <c r="F80" s="64">
        <f t="shared" si="3"/>
        <v>14</v>
      </c>
      <c r="G80" s="71">
        <f t="shared" si="3"/>
        <v>0</v>
      </c>
    </row>
    <row r="81" spans="1:7" x14ac:dyDescent="0.2">
      <c r="A81" s="7">
        <v>2012</v>
      </c>
      <c r="B81" s="40">
        <f t="shared" si="1"/>
        <v>14</v>
      </c>
      <c r="C81" s="40">
        <f t="shared" si="3"/>
        <v>15</v>
      </c>
      <c r="D81" s="40">
        <f t="shared" si="3"/>
        <v>15</v>
      </c>
      <c r="E81" s="64">
        <f t="shared" si="3"/>
        <v>16</v>
      </c>
      <c r="F81" s="72">
        <f t="shared" si="3"/>
        <v>15</v>
      </c>
      <c r="G81" s="71">
        <f t="shared" si="3"/>
        <v>0</v>
      </c>
    </row>
    <row r="82" spans="1:7" x14ac:dyDescent="0.2">
      <c r="A82" s="7">
        <v>2013</v>
      </c>
      <c r="B82" s="40">
        <f t="shared" si="1"/>
        <v>16</v>
      </c>
      <c r="C82" s="40">
        <f t="shared" si="3"/>
        <v>8</v>
      </c>
      <c r="D82" s="64">
        <f t="shared" si="3"/>
        <v>18</v>
      </c>
      <c r="E82" s="72">
        <f t="shared" si="3"/>
        <v>14</v>
      </c>
      <c r="F82" s="72">
        <f t="shared" si="3"/>
        <v>14</v>
      </c>
      <c r="G82" s="71">
        <f t="shared" si="3"/>
        <v>0</v>
      </c>
    </row>
    <row r="83" spans="1:7" x14ac:dyDescent="0.2">
      <c r="A83" s="7">
        <v>2014</v>
      </c>
      <c r="B83" s="40">
        <f t="shared" si="1"/>
        <v>12</v>
      </c>
      <c r="C83" s="64">
        <f t="shared" si="3"/>
        <v>14</v>
      </c>
      <c r="D83" s="72">
        <f t="shared" si="3"/>
        <v>13</v>
      </c>
      <c r="E83" s="72">
        <f t="shared" si="3"/>
        <v>13</v>
      </c>
      <c r="F83" s="72">
        <f t="shared" si="3"/>
        <v>13</v>
      </c>
      <c r="G83" s="71">
        <f t="shared" si="3"/>
        <v>0</v>
      </c>
    </row>
    <row r="84" spans="1:7" ht="13.5" thickBot="1" x14ac:dyDescent="0.25">
      <c r="A84" s="8">
        <v>2015</v>
      </c>
      <c r="B84" s="67">
        <f t="shared" si="1"/>
        <v>11</v>
      </c>
      <c r="C84" s="73">
        <f t="shared" si="3"/>
        <v>11</v>
      </c>
      <c r="D84" s="73">
        <f t="shared" si="3"/>
        <v>11</v>
      </c>
      <c r="E84" s="73">
        <f t="shared" si="3"/>
        <v>11</v>
      </c>
      <c r="F84" s="73">
        <f t="shared" si="3"/>
        <v>11</v>
      </c>
      <c r="G84" s="74">
        <f t="shared" si="3"/>
        <v>0</v>
      </c>
    </row>
    <row r="85" spans="1:7" ht="15.75" x14ac:dyDescent="0.25">
      <c r="C85" s="344" t="s">
        <v>23</v>
      </c>
      <c r="D85" s="344"/>
      <c r="E85" s="344"/>
      <c r="F85" s="344"/>
      <c r="G85" s="75">
        <f>G80+F81+G81+E82+F82+G82+D83+E83+F83+G83+C84+D84+E84+F84+G84</f>
        <v>126</v>
      </c>
    </row>
    <row r="95" spans="1:7" ht="27.75" customHeight="1" thickBot="1" x14ac:dyDescent="0.25">
      <c r="A95" s="341" t="s">
        <v>40</v>
      </c>
      <c r="B95" s="341"/>
      <c r="C95" s="341"/>
      <c r="D95" s="341"/>
      <c r="E95" s="341"/>
      <c r="F95" s="341"/>
      <c r="G95" s="341"/>
    </row>
    <row r="96" spans="1:7" ht="13.5" thickBot="1" x14ac:dyDescent="0.25">
      <c r="A96" s="36"/>
      <c r="B96" s="335" t="s">
        <v>2</v>
      </c>
      <c r="C96" s="335"/>
      <c r="D96" s="335"/>
      <c r="E96" s="335"/>
      <c r="F96" s="335"/>
      <c r="G96" s="336"/>
    </row>
    <row r="97" spans="1:7" ht="13.5" thickBot="1" x14ac:dyDescent="0.25">
      <c r="A97" s="27" t="s">
        <v>1</v>
      </c>
      <c r="B97" s="6">
        <v>0</v>
      </c>
      <c r="C97" s="4">
        <v>1</v>
      </c>
      <c r="D97" s="4">
        <v>2</v>
      </c>
      <c r="E97" s="4">
        <v>3</v>
      </c>
      <c r="F97" s="4">
        <v>4</v>
      </c>
      <c r="G97" s="5">
        <v>5</v>
      </c>
    </row>
    <row r="98" spans="1:7" x14ac:dyDescent="0.2">
      <c r="A98" s="7">
        <v>2010</v>
      </c>
      <c r="B98" s="99">
        <f>B79</f>
        <v>9</v>
      </c>
      <c r="C98" s="99">
        <f t="shared" ref="C98:G98" si="4">C79</f>
        <v>12</v>
      </c>
      <c r="D98" s="99">
        <f t="shared" si="4"/>
        <v>10</v>
      </c>
      <c r="E98" s="99">
        <f t="shared" si="4"/>
        <v>11</v>
      </c>
      <c r="F98" s="99">
        <f t="shared" si="4"/>
        <v>8</v>
      </c>
      <c r="G98" s="103">
        <f t="shared" si="4"/>
        <v>0</v>
      </c>
    </row>
    <row r="99" spans="1:7" x14ac:dyDescent="0.2">
      <c r="A99" s="7">
        <v>2011</v>
      </c>
      <c r="B99" s="99">
        <f t="shared" ref="B99:G99" si="5">B80</f>
        <v>13</v>
      </c>
      <c r="C99" s="99">
        <f t="shared" si="5"/>
        <v>15</v>
      </c>
      <c r="D99" s="99">
        <f t="shared" si="5"/>
        <v>8</v>
      </c>
      <c r="E99" s="99">
        <f t="shared" si="5"/>
        <v>10</v>
      </c>
      <c r="F99" s="99">
        <f t="shared" si="5"/>
        <v>14</v>
      </c>
      <c r="G99" s="104">
        <f t="shared" si="5"/>
        <v>0</v>
      </c>
    </row>
    <row r="100" spans="1:7" x14ac:dyDescent="0.2">
      <c r="A100" s="7">
        <v>2012</v>
      </c>
      <c r="B100" s="99">
        <f t="shared" ref="B100:G100" si="6">B81</f>
        <v>14</v>
      </c>
      <c r="C100" s="99">
        <f t="shared" si="6"/>
        <v>15</v>
      </c>
      <c r="D100" s="99">
        <f t="shared" si="6"/>
        <v>15</v>
      </c>
      <c r="E100" s="99">
        <f t="shared" si="6"/>
        <v>16</v>
      </c>
      <c r="F100" s="100">
        <f t="shared" si="6"/>
        <v>15</v>
      </c>
      <c r="G100" s="105">
        <f t="shared" si="6"/>
        <v>0</v>
      </c>
    </row>
    <row r="101" spans="1:7" x14ac:dyDescent="0.2">
      <c r="A101" s="7">
        <v>2013</v>
      </c>
      <c r="B101" s="99">
        <f t="shared" ref="B101:G101" si="7">B82</f>
        <v>16</v>
      </c>
      <c r="C101" s="99">
        <f t="shared" si="7"/>
        <v>8</v>
      </c>
      <c r="D101" s="99">
        <f t="shared" si="7"/>
        <v>18</v>
      </c>
      <c r="E101" s="100">
        <f t="shared" si="7"/>
        <v>14</v>
      </c>
      <c r="F101" s="101">
        <f t="shared" si="7"/>
        <v>14</v>
      </c>
      <c r="G101" s="106">
        <f t="shared" si="7"/>
        <v>0</v>
      </c>
    </row>
    <row r="102" spans="1:7" x14ac:dyDescent="0.2">
      <c r="A102" s="7">
        <v>2014</v>
      </c>
      <c r="B102" s="99">
        <f t="shared" ref="B102:G102" si="8">B83</f>
        <v>12</v>
      </c>
      <c r="C102" s="99">
        <f t="shared" si="8"/>
        <v>14</v>
      </c>
      <c r="D102" s="100">
        <f t="shared" si="8"/>
        <v>13</v>
      </c>
      <c r="E102" s="101">
        <f t="shared" si="8"/>
        <v>13</v>
      </c>
      <c r="F102" s="102">
        <f t="shared" si="8"/>
        <v>13</v>
      </c>
      <c r="G102" s="107">
        <f t="shared" si="8"/>
        <v>0</v>
      </c>
    </row>
    <row r="103" spans="1:7" ht="13.5" thickBot="1" x14ac:dyDescent="0.25">
      <c r="A103" s="8">
        <v>2015</v>
      </c>
      <c r="B103" s="108">
        <f t="shared" ref="B103:G103" si="9">B84</f>
        <v>11</v>
      </c>
      <c r="C103" s="109">
        <f t="shared" si="9"/>
        <v>11</v>
      </c>
      <c r="D103" s="110">
        <f t="shared" si="9"/>
        <v>11</v>
      </c>
      <c r="E103" s="111">
        <f t="shared" si="9"/>
        <v>11</v>
      </c>
      <c r="F103" s="112">
        <f t="shared" si="9"/>
        <v>11</v>
      </c>
      <c r="G103" s="113">
        <f t="shared" si="9"/>
        <v>0</v>
      </c>
    </row>
    <row r="104" spans="1:7" x14ac:dyDescent="0.2">
      <c r="A104" s="92"/>
      <c r="B104" s="133"/>
      <c r="C104" s="93"/>
      <c r="D104" s="93"/>
      <c r="E104" s="93"/>
      <c r="F104" s="93"/>
      <c r="G104" s="93"/>
    </row>
    <row r="105" spans="1:7" ht="13.5" thickBot="1" x14ac:dyDescent="0.25"/>
    <row r="106" spans="1:7" ht="51" x14ac:dyDescent="0.2">
      <c r="A106" s="114" t="s">
        <v>29</v>
      </c>
      <c r="B106" s="90" t="s">
        <v>41</v>
      </c>
    </row>
    <row r="107" spans="1:7" x14ac:dyDescent="0.2">
      <c r="A107" s="115">
        <v>2016</v>
      </c>
      <c r="B107" s="325">
        <f>C103+D102+E101+F100+G99</f>
        <v>53</v>
      </c>
    </row>
    <row r="108" spans="1:7" x14ac:dyDescent="0.2">
      <c r="A108" s="115">
        <v>2017</v>
      </c>
      <c r="B108" s="326">
        <f>D103+E102+F101+G100</f>
        <v>38</v>
      </c>
    </row>
    <row r="109" spans="1:7" x14ac:dyDescent="0.2">
      <c r="A109" s="115">
        <v>2018</v>
      </c>
      <c r="B109" s="327">
        <f>E103+F102+G101</f>
        <v>24</v>
      </c>
    </row>
    <row r="110" spans="1:7" x14ac:dyDescent="0.2">
      <c r="A110" s="115">
        <v>2019</v>
      </c>
      <c r="B110" s="328">
        <f>F103+G102</f>
        <v>11</v>
      </c>
    </row>
    <row r="111" spans="1:7" ht="13.5" thickBot="1" x14ac:dyDescent="0.25">
      <c r="A111" s="116">
        <v>2020</v>
      </c>
      <c r="B111" s="329">
        <f>G103</f>
        <v>0</v>
      </c>
    </row>
  </sheetData>
  <mergeCells count="17">
    <mergeCell ref="A95:G95"/>
    <mergeCell ref="B96:G96"/>
    <mergeCell ref="A19:G19"/>
    <mergeCell ref="B20:G20"/>
    <mergeCell ref="A30:D30"/>
    <mergeCell ref="C56:F56"/>
    <mergeCell ref="A76:G76"/>
    <mergeCell ref="B77:G77"/>
    <mergeCell ref="C85:F85"/>
    <mergeCell ref="A47:G47"/>
    <mergeCell ref="B48:G48"/>
    <mergeCell ref="B9:G9"/>
    <mergeCell ref="A1:G1"/>
    <mergeCell ref="A2:G2"/>
    <mergeCell ref="A3:G3"/>
    <mergeCell ref="A6:G6"/>
    <mergeCell ref="A8:G8"/>
  </mergeCells>
  <phoneticPr fontId="0" type="noConversion"/>
  <pageMargins left="0.70866141732283472" right="0.70472440944881887" top="0.74803149606299213" bottom="0.55118110236220474" header="0.31496062992125984" footer="0.31496062992125984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2"/>
  <sheetViews>
    <sheetView zoomScaleNormal="100" workbookViewId="0">
      <selection sqref="A1:G1"/>
    </sheetView>
  </sheetViews>
  <sheetFormatPr defaultRowHeight="12.75" x14ac:dyDescent="0.2"/>
  <cols>
    <col min="1" max="3" width="12.140625" customWidth="1"/>
    <col min="4" max="5" width="12.140625" style="1" customWidth="1"/>
    <col min="6" max="6" width="12.140625" customWidth="1"/>
    <col min="7" max="7" width="12.85546875" customWidth="1"/>
    <col min="8" max="9" width="10.85546875" customWidth="1"/>
    <col min="10" max="11" width="13.140625" customWidth="1"/>
    <col min="12" max="12" width="19.140625" customWidth="1"/>
  </cols>
  <sheetData>
    <row r="1" spans="1:18" ht="32.450000000000003" customHeight="1" x14ac:dyDescent="0.2">
      <c r="A1" s="337" t="s">
        <v>90</v>
      </c>
      <c r="B1" s="338"/>
      <c r="C1" s="338"/>
      <c r="D1" s="338"/>
      <c r="E1" s="338"/>
      <c r="F1" s="338"/>
      <c r="G1" s="338"/>
    </row>
    <row r="2" spans="1:18" ht="20.45" customHeight="1" x14ac:dyDescent="0.2">
      <c r="A2" s="339" t="s">
        <v>20</v>
      </c>
      <c r="B2" s="339"/>
      <c r="C2" s="339"/>
      <c r="D2" s="339"/>
      <c r="E2" s="339"/>
      <c r="F2" s="339"/>
      <c r="G2" s="339"/>
    </row>
    <row r="3" spans="1:18" ht="28.5" customHeight="1" x14ac:dyDescent="0.2">
      <c r="A3" s="352" t="s">
        <v>0</v>
      </c>
      <c r="B3" s="352"/>
      <c r="C3" s="352"/>
      <c r="D3" s="352"/>
      <c r="E3" s="352"/>
      <c r="F3" s="352"/>
      <c r="G3" s="352"/>
    </row>
    <row r="4" spans="1:18" ht="13.15" customHeight="1" x14ac:dyDescent="0.2">
      <c r="A4" s="2"/>
      <c r="B4" s="2"/>
      <c r="C4" s="2"/>
      <c r="D4" s="2"/>
      <c r="E4" s="2"/>
    </row>
    <row r="5" spans="1:18" x14ac:dyDescent="0.2">
      <c r="M5" s="91"/>
      <c r="N5" s="91"/>
      <c r="O5" s="91"/>
      <c r="P5" s="91"/>
      <c r="Q5" s="91"/>
      <c r="R5" s="91"/>
    </row>
    <row r="6" spans="1:18" ht="31.5" customHeight="1" x14ac:dyDescent="0.2">
      <c r="A6" s="340" t="s">
        <v>24</v>
      </c>
      <c r="B6" s="340"/>
      <c r="C6" s="340"/>
      <c r="D6" s="340"/>
      <c r="E6" s="340"/>
      <c r="F6" s="340"/>
      <c r="G6" s="340"/>
    </row>
    <row r="7" spans="1:18" ht="15.75" customHeight="1" thickBot="1" x14ac:dyDescent="0.25"/>
    <row r="8" spans="1:18" ht="27" customHeight="1" thickBot="1" x14ac:dyDescent="0.25">
      <c r="A8" s="341" t="s">
        <v>25</v>
      </c>
      <c r="B8" s="341"/>
      <c r="C8" s="341"/>
      <c r="D8" s="341"/>
      <c r="E8" s="341"/>
      <c r="F8" s="341"/>
      <c r="G8" s="341"/>
      <c r="I8" s="349" t="s">
        <v>58</v>
      </c>
      <c r="J8" s="350"/>
      <c r="K8" s="350"/>
      <c r="L8" s="351"/>
    </row>
    <row r="9" spans="1:18" ht="13.5" thickBot="1" x14ac:dyDescent="0.25">
      <c r="A9" s="36"/>
      <c r="B9" s="335" t="s">
        <v>2</v>
      </c>
      <c r="C9" s="335"/>
      <c r="D9" s="335"/>
      <c r="E9" s="335"/>
      <c r="F9" s="335"/>
      <c r="G9" s="336"/>
      <c r="I9" s="346" t="s">
        <v>35</v>
      </c>
      <c r="J9" s="347"/>
      <c r="K9" s="347"/>
      <c r="L9" s="348"/>
    </row>
    <row r="10" spans="1:18" ht="26.25" thickBot="1" x14ac:dyDescent="0.25">
      <c r="A10" s="27" t="s">
        <v>1</v>
      </c>
      <c r="B10" s="6">
        <v>0</v>
      </c>
      <c r="C10" s="4">
        <v>1</v>
      </c>
      <c r="D10" s="4">
        <v>2</v>
      </c>
      <c r="E10" s="4">
        <v>3</v>
      </c>
      <c r="F10" s="4">
        <v>4</v>
      </c>
      <c r="G10" s="5">
        <v>5</v>
      </c>
      <c r="I10" s="27" t="s">
        <v>29</v>
      </c>
      <c r="J10" s="88" t="s">
        <v>30</v>
      </c>
      <c r="K10" s="89" t="s">
        <v>31</v>
      </c>
      <c r="L10" s="90" t="s">
        <v>32</v>
      </c>
      <c r="M10" s="345" t="s">
        <v>34</v>
      </c>
      <c r="N10" s="345"/>
      <c r="O10" s="345"/>
      <c r="P10" s="345"/>
      <c r="Q10" s="345"/>
      <c r="R10" s="345"/>
    </row>
    <row r="11" spans="1:18" x14ac:dyDescent="0.2">
      <c r="A11" s="7">
        <v>2010</v>
      </c>
      <c r="B11" s="40">
        <v>9</v>
      </c>
      <c r="C11" s="41">
        <v>12</v>
      </c>
      <c r="D11" s="41">
        <v>10</v>
      </c>
      <c r="E11" s="41">
        <v>11</v>
      </c>
      <c r="F11" s="41">
        <v>8</v>
      </c>
      <c r="G11" s="42">
        <v>0</v>
      </c>
      <c r="I11" s="7">
        <v>2010</v>
      </c>
      <c r="J11" s="39">
        <v>0.01</v>
      </c>
      <c r="K11" s="248">
        <f>1+J11</f>
        <v>1.01</v>
      </c>
      <c r="L11" s="249">
        <f>PRODUCT(K11:K$16)</f>
        <v>1.0979821461549377</v>
      </c>
      <c r="M11" s="51">
        <f>L11</f>
        <v>1.0979821461549377</v>
      </c>
      <c r="N11" s="51">
        <f>L12</f>
        <v>1.087111035796968</v>
      </c>
      <c r="O11" s="51">
        <f>L13</f>
        <v>1.0463051355120001</v>
      </c>
      <c r="P11" s="51">
        <f>L14</f>
        <v>1.0099470419999999</v>
      </c>
      <c r="Q11" s="51">
        <f>L15</f>
        <v>0.99600299999999997</v>
      </c>
      <c r="R11" s="51">
        <f>L16</f>
        <v>0.997</v>
      </c>
    </row>
    <row r="12" spans="1:18" x14ac:dyDescent="0.2">
      <c r="A12" s="7">
        <v>2011</v>
      </c>
      <c r="B12" s="43">
        <v>13</v>
      </c>
      <c r="C12" s="44">
        <v>15</v>
      </c>
      <c r="D12" s="44">
        <v>8</v>
      </c>
      <c r="E12" s="44">
        <v>10</v>
      </c>
      <c r="F12" s="44">
        <v>14</v>
      </c>
      <c r="G12" s="45"/>
      <c r="I12" s="7">
        <v>2011</v>
      </c>
      <c r="J12" s="39">
        <v>3.9E-2</v>
      </c>
      <c r="K12" s="248">
        <f t="shared" ref="K12:K16" si="0">1+J12</f>
        <v>1.0389999999999999</v>
      </c>
      <c r="L12" s="249">
        <f>PRODUCT(K12:K$16)</f>
        <v>1.087111035796968</v>
      </c>
      <c r="M12" s="51">
        <f t="shared" ref="M12:M16" si="1">L12</f>
        <v>1.087111035796968</v>
      </c>
      <c r="N12" s="51">
        <f>L13</f>
        <v>1.0463051355120001</v>
      </c>
      <c r="O12" s="51">
        <f>L14</f>
        <v>1.0099470419999999</v>
      </c>
      <c r="P12" s="51">
        <f>L15</f>
        <v>0.99600299999999997</v>
      </c>
      <c r="Q12" s="51">
        <f>L16</f>
        <v>0.997</v>
      </c>
      <c r="R12" s="50"/>
    </row>
    <row r="13" spans="1:18" x14ac:dyDescent="0.2">
      <c r="A13" s="7">
        <v>2012</v>
      </c>
      <c r="B13" s="43">
        <v>14</v>
      </c>
      <c r="C13" s="44">
        <v>15</v>
      </c>
      <c r="D13" s="44">
        <v>15</v>
      </c>
      <c r="E13" s="44">
        <v>16</v>
      </c>
      <c r="F13" s="44"/>
      <c r="G13" s="45"/>
      <c r="I13" s="7">
        <v>2012</v>
      </c>
      <c r="J13" s="39">
        <v>3.5999999999999997E-2</v>
      </c>
      <c r="K13" s="248">
        <f t="shared" si="0"/>
        <v>1.036</v>
      </c>
      <c r="L13" s="249">
        <f>PRODUCT(K13:K$16)</f>
        <v>1.0463051355120001</v>
      </c>
      <c r="M13" s="51">
        <f t="shared" si="1"/>
        <v>1.0463051355120001</v>
      </c>
      <c r="N13" s="51">
        <f>L14</f>
        <v>1.0099470419999999</v>
      </c>
      <c r="O13" s="51">
        <f>L15</f>
        <v>0.99600299999999997</v>
      </c>
      <c r="P13" s="51">
        <f>L16</f>
        <v>0.997</v>
      </c>
      <c r="Q13" s="50"/>
      <c r="R13" s="50"/>
    </row>
    <row r="14" spans="1:18" x14ac:dyDescent="0.2">
      <c r="A14" s="7">
        <v>2013</v>
      </c>
      <c r="B14" s="43">
        <v>16</v>
      </c>
      <c r="C14" s="44">
        <v>8</v>
      </c>
      <c r="D14" s="44">
        <v>18</v>
      </c>
      <c r="E14" s="44"/>
      <c r="F14" s="44"/>
      <c r="G14" s="45"/>
      <c r="I14" s="7">
        <v>2013</v>
      </c>
      <c r="J14" s="39">
        <v>1.4E-2</v>
      </c>
      <c r="K14" s="248">
        <f t="shared" si="0"/>
        <v>1.014</v>
      </c>
      <c r="L14" s="249">
        <f>PRODUCT(K14:K$16)</f>
        <v>1.0099470419999999</v>
      </c>
      <c r="M14" s="51">
        <f t="shared" si="1"/>
        <v>1.0099470419999999</v>
      </c>
      <c r="N14" s="51">
        <f>L15</f>
        <v>0.99600299999999997</v>
      </c>
      <c r="O14" s="51">
        <f>L16</f>
        <v>0.997</v>
      </c>
      <c r="P14" s="50"/>
      <c r="Q14" s="50"/>
      <c r="R14" s="50"/>
    </row>
    <row r="15" spans="1:18" x14ac:dyDescent="0.2">
      <c r="A15" s="7">
        <v>2014</v>
      </c>
      <c r="B15" s="43">
        <v>12</v>
      </c>
      <c r="C15" s="44">
        <v>14</v>
      </c>
      <c r="D15" s="44"/>
      <c r="E15" s="44"/>
      <c r="F15" s="44"/>
      <c r="G15" s="45"/>
      <c r="I15" s="7">
        <v>2014</v>
      </c>
      <c r="J15" s="39">
        <v>-1E-3</v>
      </c>
      <c r="K15" s="248">
        <f t="shared" si="0"/>
        <v>0.999</v>
      </c>
      <c r="L15" s="249">
        <f>PRODUCT(K15:K$16)</f>
        <v>0.99600299999999997</v>
      </c>
      <c r="M15" s="51">
        <f t="shared" si="1"/>
        <v>0.99600299999999997</v>
      </c>
      <c r="N15" s="51">
        <f>L16</f>
        <v>0.997</v>
      </c>
      <c r="O15" s="50"/>
      <c r="P15" s="50"/>
      <c r="Q15" s="50"/>
      <c r="R15" s="50"/>
    </row>
    <row r="16" spans="1:18" ht="13.5" thickBot="1" x14ac:dyDescent="0.25">
      <c r="A16" s="8">
        <v>2015</v>
      </c>
      <c r="B16" s="46">
        <v>11</v>
      </c>
      <c r="C16" s="47"/>
      <c r="D16" s="47"/>
      <c r="E16" s="47"/>
      <c r="F16" s="47"/>
      <c r="G16" s="48"/>
      <c r="I16" s="178">
        <v>2015</v>
      </c>
      <c r="J16" s="179">
        <v>-3.0000000000000001E-3</v>
      </c>
      <c r="K16" s="250">
        <f t="shared" si="0"/>
        <v>0.997</v>
      </c>
      <c r="L16" s="251">
        <f>PRODUCT(K16:K$16)</f>
        <v>0.997</v>
      </c>
      <c r="M16" s="51">
        <f t="shared" si="1"/>
        <v>0.997</v>
      </c>
      <c r="N16" s="50"/>
      <c r="O16" s="50"/>
      <c r="P16" s="50"/>
      <c r="Q16" s="50"/>
      <c r="R16" s="50"/>
    </row>
    <row r="17" spans="1:13" x14ac:dyDescent="0.2">
      <c r="I17" s="180">
        <v>2016</v>
      </c>
      <c r="J17" s="181">
        <v>-5.0000000000000001E-3</v>
      </c>
      <c r="K17" s="252">
        <f>1+J17</f>
        <v>0.995</v>
      </c>
      <c r="L17" s="253"/>
      <c r="M17" s="51"/>
    </row>
    <row r="18" spans="1:13" x14ac:dyDescent="0.2">
      <c r="I18" s="182">
        <v>2017</v>
      </c>
      <c r="J18" s="183">
        <v>1.4E-2</v>
      </c>
      <c r="K18" s="254">
        <f>1+J18</f>
        <v>1.014</v>
      </c>
      <c r="L18" s="135"/>
    </row>
    <row r="19" spans="1:13" x14ac:dyDescent="0.2">
      <c r="I19" s="182">
        <v>2018</v>
      </c>
      <c r="J19" s="183">
        <v>2.3E-2</v>
      </c>
      <c r="K19" s="254">
        <f>1+J19</f>
        <v>1.0229999999999999</v>
      </c>
      <c r="L19" s="135"/>
    </row>
    <row r="20" spans="1:13" x14ac:dyDescent="0.2">
      <c r="I20" s="182">
        <v>2019</v>
      </c>
      <c r="J20" s="183">
        <v>2.1999999999999999E-2</v>
      </c>
      <c r="K20" s="254">
        <f>1+J20</f>
        <v>1.022</v>
      </c>
      <c r="L20" s="135"/>
    </row>
    <row r="21" spans="1:13" ht="13.5" thickBot="1" x14ac:dyDescent="0.25">
      <c r="I21" s="184">
        <v>2020</v>
      </c>
      <c r="J21" s="185">
        <v>2.1999999999999999E-2</v>
      </c>
      <c r="K21" s="255">
        <f>1+J21</f>
        <v>1.022</v>
      </c>
      <c r="L21" s="135"/>
    </row>
    <row r="22" spans="1:13" x14ac:dyDescent="0.2">
      <c r="J22" s="238"/>
      <c r="M22" s="51"/>
    </row>
    <row r="24" spans="1:13" ht="26.25" customHeight="1" thickBot="1" x14ac:dyDescent="0.25">
      <c r="A24" s="341" t="s">
        <v>28</v>
      </c>
      <c r="B24" s="341"/>
      <c r="C24" s="341"/>
      <c r="D24" s="341"/>
      <c r="E24" s="341"/>
      <c r="F24" s="341"/>
      <c r="G24" s="341"/>
    </row>
    <row r="25" spans="1:13" ht="13.5" thickBot="1" x14ac:dyDescent="0.25">
      <c r="A25" s="36"/>
      <c r="B25" s="335" t="s">
        <v>2</v>
      </c>
      <c r="C25" s="335"/>
      <c r="D25" s="335"/>
      <c r="E25" s="335"/>
      <c r="F25" s="335"/>
      <c r="G25" s="336"/>
    </row>
    <row r="26" spans="1:13" ht="13.5" thickBot="1" x14ac:dyDescent="0.25">
      <c r="A26" s="27" t="s">
        <v>1</v>
      </c>
      <c r="B26" s="6">
        <v>0</v>
      </c>
      <c r="C26" s="4">
        <v>1</v>
      </c>
      <c r="D26" s="4">
        <v>2</v>
      </c>
      <c r="E26" s="4">
        <v>3</v>
      </c>
      <c r="F26" s="4">
        <v>4</v>
      </c>
      <c r="G26" s="5">
        <v>5</v>
      </c>
    </row>
    <row r="27" spans="1:13" x14ac:dyDescent="0.2">
      <c r="A27" s="7">
        <v>2010</v>
      </c>
      <c r="B27" s="81">
        <f t="shared" ref="B27:B32" si="2">B11*M11</f>
        <v>9.8818393153944388</v>
      </c>
      <c r="C27" s="81">
        <f t="shared" ref="C27:F27" si="3">C11*N11</f>
        <v>13.045332429563615</v>
      </c>
      <c r="D27" s="81">
        <f t="shared" si="3"/>
        <v>10.463051355120001</v>
      </c>
      <c r="E27" s="81">
        <f t="shared" si="3"/>
        <v>11.109417461999998</v>
      </c>
      <c r="F27" s="81">
        <f t="shared" si="3"/>
        <v>7.9680239999999998</v>
      </c>
      <c r="G27" s="82">
        <f>G11*R11</f>
        <v>0</v>
      </c>
    </row>
    <row r="28" spans="1:13" x14ac:dyDescent="0.2">
      <c r="A28" s="7">
        <v>2011</v>
      </c>
      <c r="B28" s="81">
        <f t="shared" si="2"/>
        <v>14.132443465360584</v>
      </c>
      <c r="C28" s="81">
        <f>C12*N12</f>
        <v>15.694577032680002</v>
      </c>
      <c r="D28" s="81">
        <f>D12*O12</f>
        <v>8.0795763359999988</v>
      </c>
      <c r="E28" s="81">
        <f>E12*P12</f>
        <v>9.9600299999999997</v>
      </c>
      <c r="F28" s="81">
        <f>F12*Q12</f>
        <v>13.958</v>
      </c>
      <c r="G28" s="83"/>
    </row>
    <row r="29" spans="1:13" x14ac:dyDescent="0.2">
      <c r="A29" s="7">
        <v>2012</v>
      </c>
      <c r="B29" s="81">
        <f t="shared" si="2"/>
        <v>14.648271897168001</v>
      </c>
      <c r="C29" s="81">
        <f>C13*N13</f>
        <v>15.149205629999997</v>
      </c>
      <c r="D29" s="81">
        <f>D13*O13</f>
        <v>14.940045</v>
      </c>
      <c r="E29" s="81">
        <f>E13*P13</f>
        <v>15.952</v>
      </c>
      <c r="F29" s="84"/>
      <c r="G29" s="83"/>
    </row>
    <row r="30" spans="1:13" x14ac:dyDescent="0.2">
      <c r="A30" s="7">
        <v>2013</v>
      </c>
      <c r="B30" s="81">
        <f t="shared" si="2"/>
        <v>16.159152671999998</v>
      </c>
      <c r="C30" s="81">
        <f>C14*N14</f>
        <v>7.9680239999999998</v>
      </c>
      <c r="D30" s="81">
        <f>D14*O14</f>
        <v>17.946000000000002</v>
      </c>
      <c r="E30" s="84"/>
      <c r="F30" s="84"/>
      <c r="G30" s="83"/>
    </row>
    <row r="31" spans="1:13" x14ac:dyDescent="0.2">
      <c r="A31" s="7">
        <v>2014</v>
      </c>
      <c r="B31" s="81">
        <f t="shared" si="2"/>
        <v>11.952036</v>
      </c>
      <c r="C31" s="81">
        <f>C15*N15</f>
        <v>13.958</v>
      </c>
      <c r="D31" s="84"/>
      <c r="E31" s="84"/>
      <c r="F31" s="84"/>
      <c r="G31" s="83"/>
    </row>
    <row r="32" spans="1:13" ht="13.5" thickBot="1" x14ac:dyDescent="0.25">
      <c r="A32" s="8">
        <v>2015</v>
      </c>
      <c r="B32" s="85">
        <f t="shared" si="2"/>
        <v>10.967000000000001</v>
      </c>
      <c r="C32" s="86"/>
      <c r="D32" s="86"/>
      <c r="E32" s="86"/>
      <c r="F32" s="86"/>
      <c r="G32" s="87"/>
    </row>
    <row r="35" spans="1:7" ht="27" customHeight="1" thickBot="1" x14ac:dyDescent="0.25">
      <c r="A35" s="341" t="s">
        <v>33</v>
      </c>
      <c r="B35" s="341"/>
      <c r="C35" s="341"/>
      <c r="D35" s="341"/>
      <c r="E35" s="341"/>
      <c r="F35" s="341"/>
      <c r="G35" s="341"/>
    </row>
    <row r="36" spans="1:7" ht="13.5" thickBot="1" x14ac:dyDescent="0.25">
      <c r="A36" s="36"/>
      <c r="B36" s="335" t="s">
        <v>2</v>
      </c>
      <c r="C36" s="335"/>
      <c r="D36" s="335"/>
      <c r="E36" s="335"/>
      <c r="F36" s="335"/>
      <c r="G36" s="336"/>
    </row>
    <row r="37" spans="1:7" ht="13.5" thickBot="1" x14ac:dyDescent="0.25">
      <c r="A37" s="27" t="s">
        <v>1</v>
      </c>
      <c r="B37" s="6">
        <v>0</v>
      </c>
      <c r="C37" s="4">
        <v>1</v>
      </c>
      <c r="D37" s="4">
        <v>2</v>
      </c>
      <c r="E37" s="4">
        <v>3</v>
      </c>
      <c r="F37" s="4">
        <v>4</v>
      </c>
      <c r="G37" s="5">
        <v>5</v>
      </c>
    </row>
    <row r="38" spans="1:7" x14ac:dyDescent="0.2">
      <c r="A38" s="7">
        <v>2010</v>
      </c>
      <c r="B38" s="49">
        <f>SUM($B27:B27)</f>
        <v>9.8818393153944388</v>
      </c>
      <c r="C38" s="49">
        <f>SUM($B27:C27)</f>
        <v>22.927171744958052</v>
      </c>
      <c r="D38" s="49">
        <f>SUM($B27:D27)</f>
        <v>33.390223100078053</v>
      </c>
      <c r="E38" s="49">
        <f>SUM($B27:E27)</f>
        <v>44.499640562078049</v>
      </c>
      <c r="F38" s="49">
        <f>SUM($B27:F27)</f>
        <v>52.467664562078049</v>
      </c>
      <c r="G38" s="239">
        <f>SUM($B27:G27)</f>
        <v>52.467664562078049</v>
      </c>
    </row>
    <row r="39" spans="1:7" x14ac:dyDescent="0.2">
      <c r="A39" s="7">
        <v>2011</v>
      </c>
      <c r="B39" s="49">
        <f>SUM($B28:B28)</f>
        <v>14.132443465360584</v>
      </c>
      <c r="C39" s="49">
        <f>SUM($B28:C28)</f>
        <v>29.827020498040586</v>
      </c>
      <c r="D39" s="49">
        <f>SUM($B28:D28)</f>
        <v>37.906596834040585</v>
      </c>
      <c r="E39" s="49">
        <f>SUM($B28:E28)</f>
        <v>47.866626834040588</v>
      </c>
      <c r="F39" s="49">
        <f>SUM($B28:F28)</f>
        <v>61.824626834040586</v>
      </c>
      <c r="G39" s="240"/>
    </row>
    <row r="40" spans="1:7" x14ac:dyDescent="0.2">
      <c r="A40" s="7">
        <v>2012</v>
      </c>
      <c r="B40" s="49">
        <f>SUM($B29:B29)</f>
        <v>14.648271897168001</v>
      </c>
      <c r="C40" s="49">
        <f>SUM($B29:C29)</f>
        <v>29.797477527167999</v>
      </c>
      <c r="D40" s="49">
        <f>SUM($B29:D29)</f>
        <v>44.737522527167997</v>
      </c>
      <c r="E40" s="49">
        <f>SUM($B29:E29)</f>
        <v>60.689522527167995</v>
      </c>
      <c r="F40" s="49"/>
      <c r="G40" s="240"/>
    </row>
    <row r="41" spans="1:7" x14ac:dyDescent="0.2">
      <c r="A41" s="7">
        <v>2013</v>
      </c>
      <c r="B41" s="49">
        <f>SUM($B30:B30)</f>
        <v>16.159152671999998</v>
      </c>
      <c r="C41" s="49">
        <f>SUM($B30:C30)</f>
        <v>24.127176671999997</v>
      </c>
      <c r="D41" s="49">
        <f>SUM($B30:D30)</f>
        <v>42.073176672000002</v>
      </c>
      <c r="E41" s="139"/>
      <c r="F41" s="139"/>
      <c r="G41" s="240"/>
    </row>
    <row r="42" spans="1:7" x14ac:dyDescent="0.2">
      <c r="A42" s="7">
        <v>2014</v>
      </c>
      <c r="B42" s="49">
        <f>SUM($B31:B31)</f>
        <v>11.952036</v>
      </c>
      <c r="C42" s="49">
        <f>SUM($B31:C31)</f>
        <v>25.910035999999998</v>
      </c>
      <c r="D42" s="139"/>
      <c r="E42" s="139"/>
      <c r="F42" s="139"/>
      <c r="G42" s="240"/>
    </row>
    <row r="43" spans="1:7" ht="13.5" thickBot="1" x14ac:dyDescent="0.25">
      <c r="A43" s="8">
        <v>2015</v>
      </c>
      <c r="B43" s="241">
        <f>SUM($B32:B32)</f>
        <v>10.967000000000001</v>
      </c>
      <c r="C43" s="149"/>
      <c r="D43" s="149"/>
      <c r="E43" s="149"/>
      <c r="F43" s="149"/>
      <c r="G43" s="242"/>
    </row>
    <row r="46" spans="1:7" ht="25.5" customHeight="1" thickBot="1" x14ac:dyDescent="0.25">
      <c r="A46" s="342" t="s">
        <v>5</v>
      </c>
      <c r="B46" s="342"/>
      <c r="C46" s="342"/>
      <c r="D46" s="342"/>
      <c r="E46" s="10"/>
      <c r="F46" s="10"/>
      <c r="G46" s="10"/>
    </row>
    <row r="47" spans="1:7" ht="25.5" x14ac:dyDescent="0.2">
      <c r="A47" s="27" t="s">
        <v>29</v>
      </c>
      <c r="B47" s="28" t="s">
        <v>6</v>
      </c>
      <c r="C47" s="37" t="s">
        <v>7</v>
      </c>
      <c r="D47" s="38" t="s">
        <v>8</v>
      </c>
      <c r="E47" s="11"/>
      <c r="F47" s="11"/>
      <c r="G47" s="11"/>
    </row>
    <row r="48" spans="1:7" x14ac:dyDescent="0.2">
      <c r="A48" s="15">
        <v>2011</v>
      </c>
      <c r="B48" s="16">
        <f>SUM(G$38:G38)/SUM(F$38:F38)</f>
        <v>1</v>
      </c>
      <c r="C48" s="29">
        <f>PRODUCT(B$48:B48)</f>
        <v>1</v>
      </c>
      <c r="D48" s="30">
        <f>1/C48</f>
        <v>1</v>
      </c>
      <c r="F48" s="1"/>
      <c r="G48" s="1"/>
    </row>
    <row r="49" spans="1:7" x14ac:dyDescent="0.2">
      <c r="A49" s="7">
        <v>2012</v>
      </c>
      <c r="B49" s="14">
        <f>SUM(F$38:F39)/SUM(E$38:E39)</f>
        <v>1.237381293172418</v>
      </c>
      <c r="C49" s="31">
        <f>PRODUCT(B$48:B49)</f>
        <v>1.237381293172418</v>
      </c>
      <c r="D49" s="32">
        <f>1/C49</f>
        <v>0.80815833043360785</v>
      </c>
      <c r="F49" s="1"/>
      <c r="G49" s="1"/>
    </row>
    <row r="50" spans="1:7" x14ac:dyDescent="0.2">
      <c r="A50" s="7">
        <v>2013</v>
      </c>
      <c r="B50" s="14">
        <f>SUM(E$38:E40)/SUM(D$38:D40)</f>
        <v>1.3190559508220743</v>
      </c>
      <c r="C50" s="31">
        <f>PRODUCT(B$48:B50)</f>
        <v>1.6321751581949917</v>
      </c>
      <c r="D50" s="32">
        <f>1/C50</f>
        <v>0.61267934080426223</v>
      </c>
      <c r="F50" s="1"/>
      <c r="G50" s="1"/>
    </row>
    <row r="51" spans="1:7" x14ac:dyDescent="0.2">
      <c r="A51" s="7">
        <v>2014</v>
      </c>
      <c r="B51" s="14">
        <f>SUM(D$38:D41)/SUM(C$38:C41)</f>
        <v>1.4820887589837297</v>
      </c>
      <c r="C51" s="31">
        <f>PRODUCT(B$48:B51)</f>
        <v>2.4190284546532879</v>
      </c>
      <c r="D51" s="32">
        <f>1/C51</f>
        <v>0.41338910175958515</v>
      </c>
      <c r="F51" s="1"/>
      <c r="G51" s="1"/>
    </row>
    <row r="52" spans="1:7" ht="13.5" thickBot="1" x14ac:dyDescent="0.25">
      <c r="A52" s="8">
        <v>2015</v>
      </c>
      <c r="B52" s="12">
        <f>SUM(C$38:C42)/SUM(B$38:B42)</f>
        <v>1.9856439940373583</v>
      </c>
      <c r="C52" s="33">
        <f>PRODUCT(B$48:B52)</f>
        <v>4.8033293223877731</v>
      </c>
      <c r="D52" s="34">
        <f>1/C52</f>
        <v>0.20818893165186769</v>
      </c>
      <c r="F52" s="1"/>
      <c r="G52" s="1"/>
    </row>
    <row r="55" spans="1:7" ht="27" customHeight="1" thickBot="1" x14ac:dyDescent="0.25">
      <c r="A55" s="341" t="s">
        <v>85</v>
      </c>
      <c r="B55" s="341"/>
      <c r="C55" s="341"/>
      <c r="D55" s="341"/>
      <c r="E55" s="341"/>
      <c r="F55" s="341"/>
      <c r="G55" s="341"/>
    </row>
    <row r="56" spans="1:7" ht="13.5" thickBot="1" x14ac:dyDescent="0.25">
      <c r="A56" s="36"/>
      <c r="B56" s="335" t="s">
        <v>2</v>
      </c>
      <c r="C56" s="335"/>
      <c r="D56" s="335"/>
      <c r="E56" s="335"/>
      <c r="F56" s="335"/>
      <c r="G56" s="336"/>
    </row>
    <row r="57" spans="1:7" ht="13.5" thickBot="1" x14ac:dyDescent="0.25">
      <c r="A57" s="27" t="s">
        <v>1</v>
      </c>
      <c r="B57" s="6">
        <v>0</v>
      </c>
      <c r="C57" s="4">
        <v>1</v>
      </c>
      <c r="D57" s="4">
        <v>2</v>
      </c>
      <c r="E57" s="4">
        <v>3</v>
      </c>
      <c r="F57" s="4">
        <v>4</v>
      </c>
      <c r="G57" s="5">
        <v>5</v>
      </c>
    </row>
    <row r="58" spans="1:7" x14ac:dyDescent="0.2">
      <c r="A58" s="7">
        <v>2010</v>
      </c>
      <c r="B58" s="49">
        <f>$B$38</f>
        <v>9.8818393153944388</v>
      </c>
      <c r="C58" s="49">
        <f>$C$38</f>
        <v>22.927171744958052</v>
      </c>
      <c r="D58" s="49">
        <f>D38</f>
        <v>33.390223100078053</v>
      </c>
      <c r="E58" s="49">
        <f>E38</f>
        <v>44.499640562078049</v>
      </c>
      <c r="F58" s="49">
        <f>F38</f>
        <v>52.467664562078049</v>
      </c>
      <c r="G58" s="52">
        <f>G38</f>
        <v>52.467664562078049</v>
      </c>
    </row>
    <row r="59" spans="1:7" x14ac:dyDescent="0.2">
      <c r="A59" s="7">
        <v>2011</v>
      </c>
      <c r="B59" s="49">
        <f>$B$39</f>
        <v>14.132443465360584</v>
      </c>
      <c r="C59" s="49">
        <f>C39</f>
        <v>29.827020498040586</v>
      </c>
      <c r="D59" s="49">
        <f>D39</f>
        <v>37.906596834040585</v>
      </c>
      <c r="E59" s="49">
        <f>E39</f>
        <v>47.866626834040588</v>
      </c>
      <c r="F59" s="53">
        <f>F39</f>
        <v>61.824626834040586</v>
      </c>
      <c r="G59" s="54">
        <f>F59*B48</f>
        <v>61.824626834040586</v>
      </c>
    </row>
    <row r="60" spans="1:7" x14ac:dyDescent="0.2">
      <c r="A60" s="7">
        <v>2012</v>
      </c>
      <c r="B60" s="49">
        <f>$B$40</f>
        <v>14.648271897168001</v>
      </c>
      <c r="C60" s="49">
        <f>C40</f>
        <v>29.797477527167999</v>
      </c>
      <c r="D60" s="49">
        <f>D40</f>
        <v>44.737522527167997</v>
      </c>
      <c r="E60" s="53">
        <f>E40</f>
        <v>60.689522527167995</v>
      </c>
      <c r="F60" s="55">
        <f>E60*B49</f>
        <v>75.096079866683723</v>
      </c>
      <c r="G60" s="54">
        <f>F60*B48</f>
        <v>75.096079866683723</v>
      </c>
    </row>
    <row r="61" spans="1:7" x14ac:dyDescent="0.2">
      <c r="A61" s="7">
        <v>2013</v>
      </c>
      <c r="B61" s="49">
        <f>$B$41</f>
        <v>16.159152671999998</v>
      </c>
      <c r="C61" s="49">
        <f>C41</f>
        <v>24.127176671999997</v>
      </c>
      <c r="D61" s="53">
        <f>D41</f>
        <v>42.073176672000002</v>
      </c>
      <c r="E61" s="55">
        <f>D61*B50</f>
        <v>55.496874059190077</v>
      </c>
      <c r="F61" s="55">
        <f>E61*B49</f>
        <v>68.670793790387435</v>
      </c>
      <c r="G61" s="54">
        <f>F61*B48</f>
        <v>68.670793790387435</v>
      </c>
    </row>
    <row r="62" spans="1:7" x14ac:dyDescent="0.2">
      <c r="A62" s="7">
        <v>2014</v>
      </c>
      <c r="B62" s="49">
        <f>$B$42</f>
        <v>11.952036</v>
      </c>
      <c r="C62" s="53">
        <f>C42</f>
        <v>25.910035999999998</v>
      </c>
      <c r="D62" s="55">
        <f>C62*B51</f>
        <v>38.400973100463759</v>
      </c>
      <c r="E62" s="55">
        <f>D62*B50</f>
        <v>50.653032085525119</v>
      </c>
      <c r="F62" s="55">
        <f>E62*B49</f>
        <v>62.677114345091049</v>
      </c>
      <c r="G62" s="54">
        <f>F62*B48</f>
        <v>62.677114345091049</v>
      </c>
    </row>
    <row r="63" spans="1:7" ht="13.5" thickBot="1" x14ac:dyDescent="0.25">
      <c r="A63" s="8">
        <v>2015</v>
      </c>
      <c r="B63" s="56">
        <f>$B$43</f>
        <v>10.967000000000001</v>
      </c>
      <c r="C63" s="57">
        <f>B63*B52</f>
        <v>21.776557682607709</v>
      </c>
      <c r="D63" s="57">
        <f>C63*B51</f>
        <v>32.274791350753667</v>
      </c>
      <c r="E63" s="57">
        <f>D63*B50</f>
        <v>42.572255592752434</v>
      </c>
      <c r="F63" s="57">
        <f>E63*B49</f>
        <v>52.678112678626711</v>
      </c>
      <c r="G63" s="58">
        <f>F63*B48</f>
        <v>52.678112678626711</v>
      </c>
    </row>
    <row r="66" spans="1:7" ht="26.25" customHeight="1" thickBot="1" x14ac:dyDescent="0.25">
      <c r="A66" s="341" t="s">
        <v>86</v>
      </c>
      <c r="B66" s="341"/>
      <c r="C66" s="341"/>
      <c r="D66" s="341"/>
      <c r="E66" s="341"/>
      <c r="F66" s="341"/>
      <c r="G66" s="341"/>
    </row>
    <row r="67" spans="1:7" ht="13.5" thickBot="1" x14ac:dyDescent="0.25">
      <c r="A67" s="36"/>
      <c r="B67" s="335" t="s">
        <v>2</v>
      </c>
      <c r="C67" s="335"/>
      <c r="D67" s="335"/>
      <c r="E67" s="335"/>
      <c r="F67" s="335"/>
      <c r="G67" s="336"/>
    </row>
    <row r="68" spans="1:7" ht="13.5" thickBot="1" x14ac:dyDescent="0.25">
      <c r="A68" s="27" t="s">
        <v>1</v>
      </c>
      <c r="B68" s="6">
        <v>0</v>
      </c>
      <c r="C68" s="4">
        <v>1</v>
      </c>
      <c r="D68" s="4">
        <v>2</v>
      </c>
      <c r="E68" s="4">
        <v>3</v>
      </c>
      <c r="F68" s="4">
        <v>4</v>
      </c>
      <c r="G68" s="5">
        <v>5</v>
      </c>
    </row>
    <row r="69" spans="1:7" x14ac:dyDescent="0.2">
      <c r="A69" s="7">
        <v>2010</v>
      </c>
      <c r="B69" s="49">
        <f t="shared" ref="B69:B74" si="4">B58</f>
        <v>9.8818393153944388</v>
      </c>
      <c r="C69" s="49">
        <f>C58-B58</f>
        <v>13.045332429563613</v>
      </c>
      <c r="D69" s="49">
        <f>D58-C58</f>
        <v>10.463051355120001</v>
      </c>
      <c r="E69" s="49">
        <f>E58-D58</f>
        <v>11.109417461999996</v>
      </c>
      <c r="F69" s="49">
        <f>F58-E58</f>
        <v>7.9680239999999998</v>
      </c>
      <c r="G69" s="52">
        <f>G58-F58</f>
        <v>0</v>
      </c>
    </row>
    <row r="70" spans="1:7" x14ac:dyDescent="0.2">
      <c r="A70" s="7">
        <v>2011</v>
      </c>
      <c r="B70" s="49">
        <f t="shared" si="4"/>
        <v>14.132443465360584</v>
      </c>
      <c r="C70" s="49">
        <f>C59-B59</f>
        <v>15.694577032680002</v>
      </c>
      <c r="D70" s="49">
        <f>D59-C59</f>
        <v>8.0795763359999988</v>
      </c>
      <c r="E70" s="49">
        <f>E59-D59</f>
        <v>9.9600300000000033</v>
      </c>
      <c r="F70" s="53">
        <f>F59-E59</f>
        <v>13.957999999999998</v>
      </c>
      <c r="G70" s="59">
        <f>(G59-F59)*K17</f>
        <v>0</v>
      </c>
    </row>
    <row r="71" spans="1:7" x14ac:dyDescent="0.2">
      <c r="A71" s="7">
        <v>2012</v>
      </c>
      <c r="B71" s="49">
        <f t="shared" si="4"/>
        <v>14.648271897168001</v>
      </c>
      <c r="C71" s="49">
        <f>C60-B60</f>
        <v>15.149205629999997</v>
      </c>
      <c r="D71" s="49">
        <f>D60-C60</f>
        <v>14.940044999999998</v>
      </c>
      <c r="E71" s="53">
        <f>E60-D60</f>
        <v>15.951999999999998</v>
      </c>
      <c r="F71" s="60">
        <f>(F60-E60)*K17</f>
        <v>14.33452455281815</v>
      </c>
      <c r="G71" s="59">
        <f>(G60-F60)*K17*K18</f>
        <v>0</v>
      </c>
    </row>
    <row r="72" spans="1:7" x14ac:dyDescent="0.2">
      <c r="A72" s="7">
        <v>2013</v>
      </c>
      <c r="B72" s="49">
        <f t="shared" si="4"/>
        <v>16.159152671999998</v>
      </c>
      <c r="C72" s="49">
        <f>C61-B61</f>
        <v>7.9680239999999998</v>
      </c>
      <c r="D72" s="53">
        <f>D61-C61</f>
        <v>17.946000000000005</v>
      </c>
      <c r="E72" s="60">
        <f>(E61-D61)*K17</f>
        <v>13.356578900254124</v>
      </c>
      <c r="F72" s="60">
        <f>(F61-E61)*K17*K18</f>
        <v>13.291562834396952</v>
      </c>
      <c r="G72" s="59">
        <f>(G61-F61)*K17*K18*K19</f>
        <v>0</v>
      </c>
    </row>
    <row r="73" spans="1:7" x14ac:dyDescent="0.2">
      <c r="A73" s="7">
        <v>2014</v>
      </c>
      <c r="B73" s="49">
        <f t="shared" si="4"/>
        <v>11.952036</v>
      </c>
      <c r="C73" s="53">
        <f>C62-B62</f>
        <v>13.957999999999998</v>
      </c>
      <c r="D73" s="60">
        <f>(D62-C62)*K17</f>
        <v>12.428482414961442</v>
      </c>
      <c r="E73" s="60">
        <f>(E62-D62)*K17*K18</f>
        <v>12.36146987179796</v>
      </c>
      <c r="F73" s="60">
        <f>(F62-E62)*K17*K18*K19</f>
        <v>12.41048083236916</v>
      </c>
      <c r="G73" s="59">
        <f>(G62-F62)*K17*K18*K19*K20</f>
        <v>0</v>
      </c>
    </row>
    <row r="74" spans="1:7" ht="13.5" thickBot="1" x14ac:dyDescent="0.25">
      <c r="A74" s="8">
        <v>2015</v>
      </c>
      <c r="B74" s="56">
        <f t="shared" si="4"/>
        <v>10.967000000000001</v>
      </c>
      <c r="C74" s="61">
        <f>(C63-B63)*K17</f>
        <v>10.75550989419467</v>
      </c>
      <c r="D74" s="61">
        <f>(D63-C63)*K17*K18</f>
        <v>10.5919828948025</v>
      </c>
      <c r="E74" s="61">
        <f>(E63-D63)*K17*K18*K19</f>
        <v>10.628377271426452</v>
      </c>
      <c r="F74" s="61">
        <f>(F63-E63)*K17*K18*K19*K20</f>
        <v>10.660086224994597</v>
      </c>
      <c r="G74" s="62">
        <f>(G63-F63)*K17*K18*K19*K20*K21</f>
        <v>0</v>
      </c>
    </row>
    <row r="75" spans="1:7" ht="15.75" x14ac:dyDescent="0.25">
      <c r="C75" s="344" t="s">
        <v>23</v>
      </c>
      <c r="D75" s="344"/>
      <c r="E75" s="344"/>
      <c r="F75" s="344"/>
      <c r="G75" s="35">
        <f>G70+F71+G71+E72+F72+G72+D73+E73+F73+G73+C74+D74+E74+F74+G74</f>
        <v>120.81905569201602</v>
      </c>
    </row>
    <row r="86" spans="1:7" ht="13.5" thickBot="1" x14ac:dyDescent="0.25"/>
    <row r="87" spans="1:7" ht="13.5" thickBot="1" x14ac:dyDescent="0.25">
      <c r="A87" s="27" t="s">
        <v>1</v>
      </c>
      <c r="B87" s="6">
        <v>0</v>
      </c>
      <c r="C87" s="4">
        <v>1</v>
      </c>
      <c r="D87" s="4">
        <v>2</v>
      </c>
      <c r="E87" s="4">
        <v>3</v>
      </c>
      <c r="F87" s="4">
        <v>4</v>
      </c>
      <c r="G87" s="5">
        <v>5</v>
      </c>
    </row>
    <row r="88" spans="1:7" x14ac:dyDescent="0.2">
      <c r="A88" s="7">
        <v>2010</v>
      </c>
      <c r="B88" s="117">
        <f>B69</f>
        <v>9.8818393153944388</v>
      </c>
      <c r="C88" s="117">
        <f t="shared" ref="C88:G88" si="5">C69</f>
        <v>13.045332429563613</v>
      </c>
      <c r="D88" s="117">
        <f t="shared" si="5"/>
        <v>10.463051355120001</v>
      </c>
      <c r="E88" s="117">
        <f t="shared" si="5"/>
        <v>11.109417461999996</v>
      </c>
      <c r="F88" s="117">
        <f t="shared" si="5"/>
        <v>7.9680239999999998</v>
      </c>
      <c r="G88" s="118">
        <f t="shared" si="5"/>
        <v>0</v>
      </c>
    </row>
    <row r="89" spans="1:7" x14ac:dyDescent="0.2">
      <c r="A89" s="7">
        <v>2011</v>
      </c>
      <c r="B89" s="117">
        <f t="shared" ref="B89:G93" si="6">B70</f>
        <v>14.132443465360584</v>
      </c>
      <c r="C89" s="117">
        <f t="shared" si="6"/>
        <v>15.694577032680002</v>
      </c>
      <c r="D89" s="117">
        <f t="shared" si="6"/>
        <v>8.0795763359999988</v>
      </c>
      <c r="E89" s="117">
        <f t="shared" si="6"/>
        <v>9.9600300000000033</v>
      </c>
      <c r="F89" s="117">
        <f t="shared" si="6"/>
        <v>13.957999999999998</v>
      </c>
      <c r="G89" s="119">
        <f t="shared" si="6"/>
        <v>0</v>
      </c>
    </row>
    <row r="90" spans="1:7" x14ac:dyDescent="0.2">
      <c r="A90" s="7">
        <v>2012</v>
      </c>
      <c r="B90" s="117">
        <f t="shared" si="6"/>
        <v>14.648271897168001</v>
      </c>
      <c r="C90" s="117">
        <f t="shared" si="6"/>
        <v>15.149205629999997</v>
      </c>
      <c r="D90" s="117">
        <f t="shared" si="6"/>
        <v>14.940044999999998</v>
      </c>
      <c r="E90" s="117">
        <f t="shared" si="6"/>
        <v>15.951999999999998</v>
      </c>
      <c r="F90" s="120">
        <f t="shared" si="6"/>
        <v>14.33452455281815</v>
      </c>
      <c r="G90" s="121">
        <f t="shared" si="6"/>
        <v>0</v>
      </c>
    </row>
    <row r="91" spans="1:7" x14ac:dyDescent="0.2">
      <c r="A91" s="7">
        <v>2013</v>
      </c>
      <c r="B91" s="117">
        <f t="shared" si="6"/>
        <v>16.159152671999998</v>
      </c>
      <c r="C91" s="117">
        <f t="shared" si="6"/>
        <v>7.9680239999999998</v>
      </c>
      <c r="D91" s="117">
        <f t="shared" si="6"/>
        <v>17.946000000000005</v>
      </c>
      <c r="E91" s="120">
        <f t="shared" si="6"/>
        <v>13.356578900254124</v>
      </c>
      <c r="F91" s="122">
        <f t="shared" si="6"/>
        <v>13.291562834396952</v>
      </c>
      <c r="G91" s="123">
        <f t="shared" si="6"/>
        <v>0</v>
      </c>
    </row>
    <row r="92" spans="1:7" x14ac:dyDescent="0.2">
      <c r="A92" s="7">
        <v>2014</v>
      </c>
      <c r="B92" s="117">
        <f t="shared" si="6"/>
        <v>11.952036</v>
      </c>
      <c r="C92" s="117">
        <f t="shared" si="6"/>
        <v>13.957999999999998</v>
      </c>
      <c r="D92" s="120">
        <f t="shared" si="6"/>
        <v>12.428482414961442</v>
      </c>
      <c r="E92" s="122">
        <f t="shared" si="6"/>
        <v>12.36146987179796</v>
      </c>
      <c r="F92" s="124">
        <f t="shared" si="6"/>
        <v>12.41048083236916</v>
      </c>
      <c r="G92" s="125">
        <f t="shared" si="6"/>
        <v>0</v>
      </c>
    </row>
    <row r="93" spans="1:7" ht="13.5" thickBot="1" x14ac:dyDescent="0.25">
      <c r="A93" s="8">
        <v>2015</v>
      </c>
      <c r="B93" s="126">
        <f t="shared" si="6"/>
        <v>10.967000000000001</v>
      </c>
      <c r="C93" s="127">
        <f t="shared" si="6"/>
        <v>10.75550989419467</v>
      </c>
      <c r="D93" s="128">
        <f t="shared" si="6"/>
        <v>10.5919828948025</v>
      </c>
      <c r="E93" s="129">
        <f t="shared" si="6"/>
        <v>10.628377271426452</v>
      </c>
      <c r="F93" s="130">
        <f t="shared" si="6"/>
        <v>10.660086224994597</v>
      </c>
      <c r="G93" s="131">
        <f t="shared" si="6"/>
        <v>0</v>
      </c>
    </row>
    <row r="94" spans="1:7" x14ac:dyDescent="0.2">
      <c r="A94" s="92"/>
      <c r="B94" s="132"/>
      <c r="C94" s="134"/>
      <c r="D94" s="134"/>
      <c r="E94" s="134"/>
      <c r="F94" s="134"/>
      <c r="G94" s="134"/>
    </row>
    <row r="95" spans="1:7" ht="13.5" thickBot="1" x14ac:dyDescent="0.25"/>
    <row r="96" spans="1:7" ht="51" x14ac:dyDescent="0.2">
      <c r="A96" s="114" t="s">
        <v>29</v>
      </c>
      <c r="B96" s="90" t="s">
        <v>41</v>
      </c>
    </row>
    <row r="97" spans="1:6" x14ac:dyDescent="0.2">
      <c r="A97" s="115">
        <v>2016</v>
      </c>
      <c r="B97" s="243">
        <f>C93+D92+E91+F90+G89</f>
        <v>50.875095762228383</v>
      </c>
    </row>
    <row r="98" spans="1:6" x14ac:dyDescent="0.2">
      <c r="A98" s="115">
        <v>2017</v>
      </c>
      <c r="B98" s="244">
        <f>D93+E92+F91+G90</f>
        <v>36.245015600997412</v>
      </c>
    </row>
    <row r="99" spans="1:6" x14ac:dyDescent="0.2">
      <c r="A99" s="115">
        <v>2018</v>
      </c>
      <c r="B99" s="245">
        <f>E93+F92+G91</f>
        <v>23.038858103795611</v>
      </c>
    </row>
    <row r="100" spans="1:6" x14ac:dyDescent="0.2">
      <c r="A100" s="115">
        <v>2019</v>
      </c>
      <c r="B100" s="246">
        <f>F93+G92</f>
        <v>10.660086224994597</v>
      </c>
    </row>
    <row r="101" spans="1:6" ht="13.5" thickBot="1" x14ac:dyDescent="0.25">
      <c r="A101" s="116">
        <v>2020</v>
      </c>
      <c r="B101" s="247">
        <f>G93</f>
        <v>0</v>
      </c>
    </row>
    <row r="103" spans="1:6" ht="13.5" thickBot="1" x14ac:dyDescent="0.25"/>
    <row r="104" spans="1:6" ht="63.75" x14ac:dyDescent="0.2">
      <c r="A104" s="114" t="s">
        <v>29</v>
      </c>
      <c r="B104" s="25" t="s">
        <v>41</v>
      </c>
      <c r="C104" s="25" t="s">
        <v>42</v>
      </c>
      <c r="D104" s="25" t="s">
        <v>43</v>
      </c>
      <c r="E104" s="25" t="s">
        <v>44</v>
      </c>
      <c r="F104" s="90" t="s">
        <v>45</v>
      </c>
    </row>
    <row r="105" spans="1:6" x14ac:dyDescent="0.2">
      <c r="A105" s="115">
        <v>2016</v>
      </c>
      <c r="B105" s="137">
        <f>B97</f>
        <v>50.875095762228383</v>
      </c>
      <c r="C105" s="138">
        <v>8.0000000000000002E-3</v>
      </c>
      <c r="D105" s="3">
        <v>0.5</v>
      </c>
      <c r="E105" s="140">
        <f>(1+$C$105)^(-D105)</f>
        <v>0.99602384111199482</v>
      </c>
      <c r="F105" s="144">
        <f>B105*E105</f>
        <v>50.672808298035285</v>
      </c>
    </row>
    <row r="106" spans="1:6" x14ac:dyDescent="0.2">
      <c r="A106" s="115">
        <v>2017</v>
      </c>
      <c r="B106" s="141">
        <f t="shared" ref="B106:B109" si="7">B98</f>
        <v>36.245015600997412</v>
      </c>
      <c r="C106" s="139"/>
      <c r="D106" s="3">
        <v>1.5</v>
      </c>
      <c r="E106" s="140">
        <f t="shared" ref="E106:E109" si="8">(1+$C$105)^(-D106)</f>
        <v>0.98811888999205821</v>
      </c>
      <c r="F106" s="145">
        <f t="shared" ref="F106:F109" si="9">B106*E106</f>
        <v>35.814384583402394</v>
      </c>
    </row>
    <row r="107" spans="1:6" x14ac:dyDescent="0.2">
      <c r="A107" s="115">
        <v>2018</v>
      </c>
      <c r="B107" s="142">
        <f t="shared" si="7"/>
        <v>23.038858103795611</v>
      </c>
      <c r="C107" s="139"/>
      <c r="D107" s="3">
        <v>2.5</v>
      </c>
      <c r="E107" s="140">
        <f t="shared" si="8"/>
        <v>0.98027667657942275</v>
      </c>
      <c r="F107" s="146">
        <f t="shared" si="9"/>
        <v>22.584455254173662</v>
      </c>
    </row>
    <row r="108" spans="1:6" x14ac:dyDescent="0.2">
      <c r="A108" s="115">
        <v>2019</v>
      </c>
      <c r="B108" s="143">
        <f t="shared" si="7"/>
        <v>10.660086224994597</v>
      </c>
      <c r="C108" s="139"/>
      <c r="D108" s="3">
        <v>3.5</v>
      </c>
      <c r="E108" s="140">
        <f t="shared" si="8"/>
        <v>0.97249670295577662</v>
      </c>
      <c r="F108" s="147">
        <f t="shared" si="9"/>
        <v>10.366898707031536</v>
      </c>
    </row>
    <row r="109" spans="1:6" ht="13.5" thickBot="1" x14ac:dyDescent="0.25">
      <c r="A109" s="116">
        <v>2020</v>
      </c>
      <c r="B109" s="148">
        <f t="shared" si="7"/>
        <v>0</v>
      </c>
      <c r="C109" s="149"/>
      <c r="D109" s="9">
        <v>4.5</v>
      </c>
      <c r="E109" s="150">
        <f t="shared" si="8"/>
        <v>0.96477847515454029</v>
      </c>
      <c r="F109" s="151">
        <f t="shared" si="9"/>
        <v>0</v>
      </c>
    </row>
    <row r="110" spans="1:6" ht="15.75" x14ac:dyDescent="0.25">
      <c r="B110" s="135"/>
      <c r="C110" s="135"/>
      <c r="D110" s="135"/>
      <c r="E110" s="135"/>
      <c r="F110" s="136">
        <f>SUM(F105:F109)</f>
        <v>119.43854684264288</v>
      </c>
    </row>
    <row r="118" spans="1:8" ht="13.5" thickBot="1" x14ac:dyDescent="0.25"/>
    <row r="119" spans="1:8" x14ac:dyDescent="0.2">
      <c r="A119" s="353" t="s">
        <v>47</v>
      </c>
      <c r="B119" s="354"/>
      <c r="C119" s="354"/>
      <c r="D119" s="354"/>
      <c r="E119" s="354"/>
      <c r="F119" s="354"/>
      <c r="G119" s="354"/>
      <c r="H119" s="152"/>
    </row>
    <row r="120" spans="1:8" ht="15.75" x14ac:dyDescent="0.25">
      <c r="A120" s="355" t="s">
        <v>46</v>
      </c>
      <c r="B120" s="356"/>
      <c r="C120" s="356"/>
      <c r="D120" s="356"/>
      <c r="E120" s="356"/>
      <c r="F120" s="356"/>
      <c r="G120" s="356"/>
      <c r="H120" s="153">
        <f>'Habil-K09-Uloha_9.1-A'!$G$85</f>
        <v>126</v>
      </c>
    </row>
    <row r="121" spans="1:8" ht="15.75" x14ac:dyDescent="0.25">
      <c r="A121" s="355" t="s">
        <v>48</v>
      </c>
      <c r="B121" s="356"/>
      <c r="C121" s="356"/>
      <c r="D121" s="356"/>
      <c r="E121" s="356"/>
      <c r="F121" s="356"/>
      <c r="G121" s="356"/>
      <c r="H121" s="153">
        <f>G75</f>
        <v>120.81905569201602</v>
      </c>
    </row>
    <row r="122" spans="1:8" ht="16.5" thickBot="1" x14ac:dyDescent="0.3">
      <c r="A122" s="357" t="s">
        <v>49</v>
      </c>
      <c r="B122" s="358"/>
      <c r="C122" s="358"/>
      <c r="D122" s="358"/>
      <c r="E122" s="358"/>
      <c r="F122" s="358"/>
      <c r="G122" s="358"/>
      <c r="H122" s="154">
        <f>F110</f>
        <v>119.43854684264288</v>
      </c>
    </row>
  </sheetData>
  <mergeCells count="23">
    <mergeCell ref="A119:G119"/>
    <mergeCell ref="A120:G120"/>
    <mergeCell ref="A121:G121"/>
    <mergeCell ref="A122:G122"/>
    <mergeCell ref="B9:G9"/>
    <mergeCell ref="C75:F75"/>
    <mergeCell ref="I9:L9"/>
    <mergeCell ref="I8:L8"/>
    <mergeCell ref="A1:G1"/>
    <mergeCell ref="A2:G2"/>
    <mergeCell ref="A3:G3"/>
    <mergeCell ref="A6:G6"/>
    <mergeCell ref="A8:G8"/>
    <mergeCell ref="M10:R10"/>
    <mergeCell ref="A55:G55"/>
    <mergeCell ref="B56:G56"/>
    <mergeCell ref="A66:G66"/>
    <mergeCell ref="B67:G67"/>
    <mergeCell ref="A35:G35"/>
    <mergeCell ref="B36:G36"/>
    <mergeCell ref="A46:D46"/>
    <mergeCell ref="A24:G24"/>
    <mergeCell ref="B25:G25"/>
  </mergeCells>
  <pageMargins left="0.70866141732283472" right="0.70472440944881887" top="0.74803149606299213" bottom="0.55118110236220474" header="0.31496062992125984" footer="0.31496062992125984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9"/>
  <sheetViews>
    <sheetView zoomScaleNormal="100" workbookViewId="0">
      <selection sqref="A1:G1"/>
    </sheetView>
  </sheetViews>
  <sheetFormatPr defaultRowHeight="12.75" x14ac:dyDescent="0.2"/>
  <cols>
    <col min="1" max="3" width="12.140625" customWidth="1"/>
    <col min="4" max="5" width="12.140625" style="1" customWidth="1"/>
    <col min="6" max="6" width="12.140625" customWidth="1"/>
    <col min="7" max="7" width="14.28515625" customWidth="1"/>
    <col min="8" max="9" width="10.85546875" customWidth="1"/>
  </cols>
  <sheetData>
    <row r="1" spans="1:7" ht="32.450000000000003" customHeight="1" x14ac:dyDescent="0.2">
      <c r="A1" s="337" t="s">
        <v>91</v>
      </c>
      <c r="B1" s="338"/>
      <c r="C1" s="338"/>
      <c r="D1" s="338"/>
      <c r="E1" s="338"/>
      <c r="F1" s="338"/>
      <c r="G1" s="338"/>
    </row>
    <row r="2" spans="1:7" ht="20.45" customHeight="1" x14ac:dyDescent="0.2">
      <c r="A2" s="339" t="s">
        <v>20</v>
      </c>
      <c r="B2" s="339"/>
      <c r="C2" s="339"/>
      <c r="D2" s="339"/>
      <c r="E2" s="339"/>
      <c r="F2" s="339"/>
      <c r="G2" s="339"/>
    </row>
    <row r="3" spans="1:7" ht="28.5" customHeight="1" x14ac:dyDescent="0.2">
      <c r="A3" s="339" t="s">
        <v>0</v>
      </c>
      <c r="B3" s="339"/>
      <c r="C3" s="339"/>
      <c r="D3" s="339"/>
      <c r="E3" s="339"/>
      <c r="F3" s="339"/>
      <c r="G3" s="339"/>
    </row>
    <row r="4" spans="1:7" ht="13.15" customHeight="1" x14ac:dyDescent="0.2">
      <c r="A4" s="2"/>
      <c r="B4" s="2"/>
      <c r="C4" s="2"/>
      <c r="D4" s="2"/>
      <c r="E4" s="2"/>
    </row>
    <row r="6" spans="1:7" ht="31.5" customHeight="1" x14ac:dyDescent="0.2">
      <c r="A6" s="340" t="s">
        <v>87</v>
      </c>
      <c r="B6" s="340"/>
      <c r="C6" s="340"/>
      <c r="D6" s="340"/>
      <c r="E6" s="340"/>
      <c r="F6" s="340"/>
      <c r="G6" s="340"/>
    </row>
    <row r="7" spans="1:7" ht="15.75" customHeight="1" x14ac:dyDescent="0.2"/>
    <row r="8" spans="1:7" ht="13.5" thickBot="1" x14ac:dyDescent="0.25">
      <c r="A8" s="341" t="s">
        <v>25</v>
      </c>
      <c r="B8" s="341"/>
      <c r="C8" s="341"/>
      <c r="D8" s="341"/>
      <c r="E8" s="341"/>
      <c r="F8" s="341"/>
      <c r="G8" s="341"/>
    </row>
    <row r="9" spans="1:7" ht="13.5" thickBot="1" x14ac:dyDescent="0.25">
      <c r="A9" s="36"/>
      <c r="B9" s="335" t="s">
        <v>2</v>
      </c>
      <c r="C9" s="335"/>
      <c r="D9" s="335"/>
      <c r="E9" s="335"/>
      <c r="F9" s="335"/>
      <c r="G9" s="336"/>
    </row>
    <row r="10" spans="1:7" ht="13.5" thickBot="1" x14ac:dyDescent="0.25">
      <c r="A10" s="27" t="s">
        <v>1</v>
      </c>
      <c r="B10" s="6">
        <v>0</v>
      </c>
      <c r="C10" s="4">
        <v>1</v>
      </c>
      <c r="D10" s="4">
        <v>2</v>
      </c>
      <c r="E10" s="4">
        <v>3</v>
      </c>
      <c r="F10" s="4">
        <v>4</v>
      </c>
      <c r="G10" s="5">
        <v>5</v>
      </c>
    </row>
    <row r="11" spans="1:7" x14ac:dyDescent="0.2">
      <c r="A11" s="7">
        <v>2010</v>
      </c>
      <c r="B11" s="40">
        <v>9</v>
      </c>
      <c r="C11" s="41">
        <v>12</v>
      </c>
      <c r="D11" s="41">
        <v>10</v>
      </c>
      <c r="E11" s="41">
        <v>11</v>
      </c>
      <c r="F11" s="41">
        <v>8</v>
      </c>
      <c r="G11" s="42">
        <v>0</v>
      </c>
    </row>
    <row r="12" spans="1:7" x14ac:dyDescent="0.2">
      <c r="A12" s="7">
        <v>2011</v>
      </c>
      <c r="B12" s="43">
        <v>13</v>
      </c>
      <c r="C12" s="44">
        <v>15</v>
      </c>
      <c r="D12" s="44">
        <v>8</v>
      </c>
      <c r="E12" s="44">
        <v>10</v>
      </c>
      <c r="F12" s="44">
        <v>14</v>
      </c>
      <c r="G12" s="45"/>
    </row>
    <row r="13" spans="1:7" x14ac:dyDescent="0.2">
      <c r="A13" s="7">
        <v>2012</v>
      </c>
      <c r="B13" s="43">
        <v>14</v>
      </c>
      <c r="C13" s="44">
        <v>15</v>
      </c>
      <c r="D13" s="44">
        <v>15</v>
      </c>
      <c r="E13" s="44">
        <v>16</v>
      </c>
      <c r="F13" s="44"/>
      <c r="G13" s="45"/>
    </row>
    <row r="14" spans="1:7" x14ac:dyDescent="0.2">
      <c r="A14" s="7">
        <v>2013</v>
      </c>
      <c r="B14" s="43">
        <v>16</v>
      </c>
      <c r="C14" s="44">
        <v>8</v>
      </c>
      <c r="D14" s="44">
        <v>18</v>
      </c>
      <c r="E14" s="44"/>
      <c r="F14" s="44"/>
      <c r="G14" s="45"/>
    </row>
    <row r="15" spans="1:7" x14ac:dyDescent="0.2">
      <c r="A15" s="7">
        <v>2014</v>
      </c>
      <c r="B15" s="43">
        <v>12</v>
      </c>
      <c r="C15" s="44">
        <v>14</v>
      </c>
      <c r="D15" s="44"/>
      <c r="E15" s="44"/>
      <c r="F15" s="44"/>
      <c r="G15" s="45"/>
    </row>
    <row r="16" spans="1:7" ht="13.5" thickBot="1" x14ac:dyDescent="0.25">
      <c r="A16" s="8">
        <v>2015</v>
      </c>
      <c r="B16" s="46">
        <v>11</v>
      </c>
      <c r="C16" s="47"/>
      <c r="D16" s="47"/>
      <c r="E16" s="47"/>
      <c r="F16" s="47"/>
      <c r="G16" s="48"/>
    </row>
    <row r="19" spans="1:7" ht="13.5" thickBot="1" x14ac:dyDescent="0.25">
      <c r="A19" s="341" t="s">
        <v>4</v>
      </c>
      <c r="B19" s="341"/>
      <c r="C19" s="341"/>
      <c r="D19" s="341"/>
      <c r="E19" s="341"/>
      <c r="F19" s="341"/>
      <c r="G19" s="341"/>
    </row>
    <row r="20" spans="1:7" ht="13.5" thickBot="1" x14ac:dyDescent="0.25">
      <c r="A20" s="36"/>
      <c r="B20" s="335" t="s">
        <v>2</v>
      </c>
      <c r="C20" s="335"/>
      <c r="D20" s="335"/>
      <c r="E20" s="335"/>
      <c r="F20" s="335"/>
      <c r="G20" s="336"/>
    </row>
    <row r="21" spans="1:7" ht="13.5" thickBot="1" x14ac:dyDescent="0.25">
      <c r="A21" s="27" t="s">
        <v>1</v>
      </c>
      <c r="B21" s="6">
        <v>0</v>
      </c>
      <c r="C21" s="4">
        <v>1</v>
      </c>
      <c r="D21" s="4">
        <v>2</v>
      </c>
      <c r="E21" s="4">
        <v>3</v>
      </c>
      <c r="F21" s="4">
        <v>4</v>
      </c>
      <c r="G21" s="5">
        <v>5</v>
      </c>
    </row>
    <row r="22" spans="1:7" x14ac:dyDescent="0.2">
      <c r="A22" s="7">
        <v>2010</v>
      </c>
      <c r="B22" s="40">
        <f>SUM($B11:B11)</f>
        <v>9</v>
      </c>
      <c r="C22" s="41">
        <f>SUM($B11:C11)</f>
        <v>21</v>
      </c>
      <c r="D22" s="41">
        <f>SUM($B11:D11)</f>
        <v>31</v>
      </c>
      <c r="E22" s="41">
        <f>SUM($B11:E11)</f>
        <v>42</v>
      </c>
      <c r="F22" s="41">
        <f>SUM($B11:F11)</f>
        <v>50</v>
      </c>
      <c r="G22" s="76">
        <f>SUM($B11:G11)</f>
        <v>50</v>
      </c>
    </row>
    <row r="23" spans="1:7" x14ac:dyDescent="0.2">
      <c r="A23" s="7">
        <v>2011</v>
      </c>
      <c r="B23" s="43">
        <f>SUM($B12:B12)</f>
        <v>13</v>
      </c>
      <c r="C23" s="44">
        <f>SUM($B12:C12)</f>
        <v>28</v>
      </c>
      <c r="D23" s="44">
        <f>SUM($B12:D12)</f>
        <v>36</v>
      </c>
      <c r="E23" s="44">
        <f>SUM($B12:E12)</f>
        <v>46</v>
      </c>
      <c r="F23" s="77">
        <f>SUM($B12:F12)</f>
        <v>60</v>
      </c>
      <c r="G23" s="45"/>
    </row>
    <row r="24" spans="1:7" x14ac:dyDescent="0.2">
      <c r="A24" s="7">
        <v>2012</v>
      </c>
      <c r="B24" s="43">
        <f>SUM($B13:B13)</f>
        <v>14</v>
      </c>
      <c r="C24" s="44">
        <f>SUM($B13:C13)</f>
        <v>29</v>
      </c>
      <c r="D24" s="44">
        <f>SUM($B13:D13)</f>
        <v>44</v>
      </c>
      <c r="E24" s="77">
        <f>SUM($B13:E13)</f>
        <v>60</v>
      </c>
      <c r="F24" s="44"/>
      <c r="G24" s="45"/>
    </row>
    <row r="25" spans="1:7" x14ac:dyDescent="0.2">
      <c r="A25" s="7">
        <v>2013</v>
      </c>
      <c r="B25" s="43">
        <f>SUM($B14:B14)</f>
        <v>16</v>
      </c>
      <c r="C25" s="44">
        <f>SUM($B14:C14)</f>
        <v>24</v>
      </c>
      <c r="D25" s="77">
        <f>SUM($B14:D14)</f>
        <v>42</v>
      </c>
      <c r="E25" s="44"/>
      <c r="F25" s="44"/>
      <c r="G25" s="45"/>
    </row>
    <row r="26" spans="1:7" x14ac:dyDescent="0.2">
      <c r="A26" s="7">
        <v>2014</v>
      </c>
      <c r="B26" s="43">
        <f>SUM($B15:B15)</f>
        <v>12</v>
      </c>
      <c r="C26" s="77">
        <f>SUM($B15:C15)</f>
        <v>26</v>
      </c>
      <c r="D26" s="44"/>
      <c r="E26" s="44"/>
      <c r="F26" s="44"/>
      <c r="G26" s="45"/>
    </row>
    <row r="27" spans="1:7" ht="13.5" thickBot="1" x14ac:dyDescent="0.25">
      <c r="A27" s="8">
        <v>2015</v>
      </c>
      <c r="B27" s="78">
        <f>SUM($B16:B16)</f>
        <v>11</v>
      </c>
      <c r="C27" s="47"/>
      <c r="D27" s="47"/>
      <c r="E27" s="47"/>
      <c r="F27" s="47"/>
      <c r="G27" s="48"/>
    </row>
    <row r="30" spans="1:7" ht="25.5" customHeight="1" thickBot="1" x14ac:dyDescent="0.25">
      <c r="A30" s="342" t="s">
        <v>5</v>
      </c>
      <c r="B30" s="342"/>
      <c r="C30" s="342"/>
      <c r="D30" s="342"/>
      <c r="E30" s="10"/>
      <c r="F30" s="10"/>
      <c r="G30" s="10"/>
    </row>
    <row r="31" spans="1:7" ht="26.25" thickBot="1" x14ac:dyDescent="0.25">
      <c r="A31" s="94" t="s">
        <v>29</v>
      </c>
      <c r="B31" s="95" t="s">
        <v>6</v>
      </c>
      <c r="C31" s="96" t="s">
        <v>7</v>
      </c>
      <c r="D31" s="97" t="s">
        <v>8</v>
      </c>
      <c r="E31" s="11"/>
      <c r="F31" s="11"/>
      <c r="G31" s="11"/>
    </row>
    <row r="32" spans="1:7" x14ac:dyDescent="0.2">
      <c r="A32" s="15">
        <v>2011</v>
      </c>
      <c r="B32" s="16">
        <f>SUM(G$22:G22)/SUM(F$22:F22)</f>
        <v>1</v>
      </c>
      <c r="C32" s="17">
        <f>PRODUCT(B$32:B32)</f>
        <v>1</v>
      </c>
      <c r="D32" s="22">
        <f>1/C32</f>
        <v>1</v>
      </c>
      <c r="F32" s="1"/>
      <c r="G32" s="1"/>
    </row>
    <row r="33" spans="1:7" x14ac:dyDescent="0.2">
      <c r="A33" s="7">
        <v>2012</v>
      </c>
      <c r="B33" s="14">
        <f>SUM(F$22:F23)/SUM(E$22:E23)</f>
        <v>1.25</v>
      </c>
      <c r="C33" s="13">
        <f>PRODUCT(B$32:B33)</f>
        <v>1.25</v>
      </c>
      <c r="D33" s="23">
        <f>1/C33</f>
        <v>0.8</v>
      </c>
      <c r="F33" s="1"/>
      <c r="G33" s="1"/>
    </row>
    <row r="34" spans="1:7" x14ac:dyDescent="0.2">
      <c r="A34" s="7">
        <v>2013</v>
      </c>
      <c r="B34" s="14">
        <f>SUM(E$22:E24)/SUM(D$22:D24)</f>
        <v>1.3333333333333333</v>
      </c>
      <c r="C34" s="13">
        <f>PRODUCT(B$32:B34)</f>
        <v>1.6666666666666665</v>
      </c>
      <c r="D34" s="23">
        <f>1/C34</f>
        <v>0.60000000000000009</v>
      </c>
      <c r="F34" s="1"/>
      <c r="G34" s="1"/>
    </row>
    <row r="35" spans="1:7" x14ac:dyDescent="0.2">
      <c r="A35" s="7">
        <v>2014</v>
      </c>
      <c r="B35" s="14">
        <f>SUM(D$22:D25)/SUM(C$22:C25)</f>
        <v>1.5</v>
      </c>
      <c r="C35" s="13">
        <f>PRODUCT(B$32:B35)</f>
        <v>2.5</v>
      </c>
      <c r="D35" s="23">
        <f>1/C35</f>
        <v>0.4</v>
      </c>
      <c r="F35" s="1"/>
      <c r="G35" s="1"/>
    </row>
    <row r="36" spans="1:7" ht="13.5" thickBot="1" x14ac:dyDescent="0.25">
      <c r="A36" s="8">
        <v>2015</v>
      </c>
      <c r="B36" s="12">
        <f>SUM(C$22:C26)/SUM(B$22:B26)</f>
        <v>2</v>
      </c>
      <c r="C36" s="18">
        <f>PRODUCT(B$32:B36)</f>
        <v>5</v>
      </c>
      <c r="D36" s="24">
        <f>1/C36</f>
        <v>0.2</v>
      </c>
      <c r="F36" s="1"/>
      <c r="G36" s="1"/>
    </row>
    <row r="39" spans="1:7" x14ac:dyDescent="0.2">
      <c r="D39" s="19"/>
    </row>
    <row r="55" spans="1:7" ht="18.75" customHeight="1" x14ac:dyDescent="0.2"/>
    <row r="56" spans="1:7" ht="13.5" thickBot="1" x14ac:dyDescent="0.25">
      <c r="A56" s="341" t="s">
        <v>88</v>
      </c>
      <c r="B56" s="341"/>
      <c r="C56" s="341"/>
      <c r="D56" s="341"/>
      <c r="E56" s="341"/>
      <c r="F56" s="341"/>
      <c r="G56" s="341"/>
    </row>
    <row r="57" spans="1:7" ht="52.5" customHeight="1" thickBot="1" x14ac:dyDescent="0.25">
      <c r="A57" s="36"/>
      <c r="B57" s="25" t="s">
        <v>10</v>
      </c>
      <c r="C57" s="25" t="s">
        <v>13</v>
      </c>
      <c r="D57" s="25" t="s">
        <v>8</v>
      </c>
      <c r="E57" s="25" t="s">
        <v>16</v>
      </c>
      <c r="F57" s="25" t="s">
        <v>19</v>
      </c>
      <c r="G57" s="26" t="s">
        <v>18</v>
      </c>
    </row>
    <row r="58" spans="1:7" ht="18" customHeight="1" thickBot="1" x14ac:dyDescent="0.25">
      <c r="A58" s="27" t="s">
        <v>1</v>
      </c>
      <c r="B58" s="330" t="s">
        <v>11</v>
      </c>
      <c r="C58" s="330" t="s">
        <v>14</v>
      </c>
      <c r="D58" s="330" t="s">
        <v>12</v>
      </c>
      <c r="E58" s="330" t="s">
        <v>15</v>
      </c>
      <c r="F58" s="330" t="s">
        <v>17</v>
      </c>
      <c r="G58" s="331" t="s">
        <v>21</v>
      </c>
    </row>
    <row r="59" spans="1:7" x14ac:dyDescent="0.2">
      <c r="A59" s="7">
        <v>2010</v>
      </c>
      <c r="B59" s="218">
        <v>62.5</v>
      </c>
      <c r="C59" s="218">
        <f>G22</f>
        <v>50</v>
      </c>
      <c r="D59" s="256">
        <f>1</f>
        <v>1</v>
      </c>
      <c r="E59" s="49">
        <f t="shared" ref="E59:E64" si="0">1-D59</f>
        <v>0</v>
      </c>
      <c r="F59" s="218">
        <f>B59*D59</f>
        <v>62.5</v>
      </c>
      <c r="G59" s="257">
        <f>$F$68*B59*E59</f>
        <v>0</v>
      </c>
    </row>
    <row r="60" spans="1:7" x14ac:dyDescent="0.2">
      <c r="A60" s="7">
        <v>2011</v>
      </c>
      <c r="B60" s="218">
        <v>62.5</v>
      </c>
      <c r="C60" s="218">
        <f>F23</f>
        <v>60</v>
      </c>
      <c r="D60" s="256">
        <f>D32</f>
        <v>1</v>
      </c>
      <c r="E60" s="49">
        <f t="shared" si="0"/>
        <v>0</v>
      </c>
      <c r="F60" s="218">
        <f t="shared" ref="F60:F63" si="1">B60*D60</f>
        <v>62.5</v>
      </c>
      <c r="G60" s="257">
        <f>$F$68*B60*E60</f>
        <v>0</v>
      </c>
    </row>
    <row r="61" spans="1:7" x14ac:dyDescent="0.2">
      <c r="A61" s="7">
        <v>2012</v>
      </c>
      <c r="B61" s="218">
        <v>62.5</v>
      </c>
      <c r="C61" s="218">
        <f>E24</f>
        <v>60</v>
      </c>
      <c r="D61" s="256">
        <f>D33</f>
        <v>0.8</v>
      </c>
      <c r="E61" s="49">
        <f t="shared" si="0"/>
        <v>0.19999999999999996</v>
      </c>
      <c r="F61" s="218">
        <f>B61*D61</f>
        <v>50</v>
      </c>
      <c r="G61" s="257">
        <f>$F$68*B61*E61</f>
        <v>12.449999999999998</v>
      </c>
    </row>
    <row r="62" spans="1:7" x14ac:dyDescent="0.2">
      <c r="A62" s="7">
        <v>2013</v>
      </c>
      <c r="B62" s="218">
        <v>62.5</v>
      </c>
      <c r="C62" s="218">
        <f>D25</f>
        <v>42</v>
      </c>
      <c r="D62" s="256">
        <f>D34</f>
        <v>0.60000000000000009</v>
      </c>
      <c r="E62" s="49">
        <f t="shared" si="0"/>
        <v>0.39999999999999991</v>
      </c>
      <c r="F62" s="218">
        <f>B62*D62</f>
        <v>37.500000000000007</v>
      </c>
      <c r="G62" s="257">
        <f t="shared" ref="G62:G64" si="2">$F$68*B62*E62</f>
        <v>24.899999999999995</v>
      </c>
    </row>
    <row r="63" spans="1:7" x14ac:dyDescent="0.2">
      <c r="A63" s="7">
        <v>2014</v>
      </c>
      <c r="B63" s="218">
        <v>62.5</v>
      </c>
      <c r="C63" s="218">
        <f>C26</f>
        <v>26</v>
      </c>
      <c r="D63" s="256">
        <f>D35</f>
        <v>0.4</v>
      </c>
      <c r="E63" s="49">
        <f t="shared" si="0"/>
        <v>0.6</v>
      </c>
      <c r="F63" s="218">
        <f t="shared" si="1"/>
        <v>25</v>
      </c>
      <c r="G63" s="257">
        <f t="shared" si="2"/>
        <v>37.35</v>
      </c>
    </row>
    <row r="64" spans="1:7" ht="13.5" thickBot="1" x14ac:dyDescent="0.25">
      <c r="A64" s="8">
        <v>2015</v>
      </c>
      <c r="B64" s="258">
        <v>62.5</v>
      </c>
      <c r="C64" s="258">
        <f>B27</f>
        <v>11</v>
      </c>
      <c r="D64" s="259">
        <f>D36</f>
        <v>0.2</v>
      </c>
      <c r="E64" s="241">
        <f t="shared" si="0"/>
        <v>0.8</v>
      </c>
      <c r="F64" s="258">
        <f>B64*D64</f>
        <v>12.5</v>
      </c>
      <c r="G64" s="260">
        <f t="shared" si="2"/>
        <v>49.800000000000004</v>
      </c>
    </row>
    <row r="65" spans="1:7" x14ac:dyDescent="0.2">
      <c r="A65" s="20" t="s">
        <v>9</v>
      </c>
      <c r="C65" s="261">
        <f>SUM(C59:C64)</f>
        <v>249</v>
      </c>
      <c r="D65" s="262"/>
      <c r="E65" s="262"/>
      <c r="F65" s="261">
        <f>SUM(F59:F64)</f>
        <v>250</v>
      </c>
      <c r="G65" s="261">
        <f>SUM(G59:G64)</f>
        <v>124.5</v>
      </c>
    </row>
    <row r="68" spans="1:7" ht="15" x14ac:dyDescent="0.2">
      <c r="F68" s="80">
        <f>C65/F65</f>
        <v>0.996</v>
      </c>
    </row>
    <row r="73" spans="1:7" x14ac:dyDescent="0.2">
      <c r="E73" s="332">
        <f>C65</f>
        <v>249</v>
      </c>
    </row>
    <row r="77" spans="1:7" ht="15" x14ac:dyDescent="0.2">
      <c r="F77" s="263">
        <f>G65</f>
        <v>124.5</v>
      </c>
    </row>
    <row r="79" spans="1:7" ht="15" x14ac:dyDescent="0.2">
      <c r="F79" s="21"/>
    </row>
  </sheetData>
  <mergeCells count="10">
    <mergeCell ref="A56:G56"/>
    <mergeCell ref="A19:G19"/>
    <mergeCell ref="B20:G20"/>
    <mergeCell ref="A30:D30"/>
    <mergeCell ref="B9:G9"/>
    <mergeCell ref="A1:G1"/>
    <mergeCell ref="A2:G2"/>
    <mergeCell ref="A3:G3"/>
    <mergeCell ref="A6:G6"/>
    <mergeCell ref="A8:G8"/>
  </mergeCells>
  <pageMargins left="0.70866141732283472" right="0.70472440944881887" top="0.74803149606299213" bottom="0.55118110236220474" header="0.31496062992125984" footer="0.31496062992125984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6"/>
  <sheetViews>
    <sheetView zoomScaleNormal="100" workbookViewId="0">
      <selection sqref="A1:G1"/>
    </sheetView>
  </sheetViews>
  <sheetFormatPr defaultRowHeight="12.75" x14ac:dyDescent="0.2"/>
  <cols>
    <col min="1" max="3" width="12.140625" customWidth="1"/>
    <col min="4" max="5" width="12.140625" style="1" customWidth="1"/>
    <col min="6" max="6" width="14.28515625" customWidth="1"/>
    <col min="7" max="7" width="12.85546875" customWidth="1"/>
    <col min="8" max="9" width="10.85546875" customWidth="1"/>
  </cols>
  <sheetData>
    <row r="1" spans="1:7" ht="32.450000000000003" customHeight="1" x14ac:dyDescent="0.2">
      <c r="A1" s="337" t="s">
        <v>92</v>
      </c>
      <c r="B1" s="338"/>
      <c r="C1" s="338"/>
      <c r="D1" s="338"/>
      <c r="E1" s="338"/>
      <c r="F1" s="338"/>
      <c r="G1" s="338"/>
    </row>
    <row r="2" spans="1:7" ht="20.45" customHeight="1" x14ac:dyDescent="0.2">
      <c r="A2" s="339" t="s">
        <v>20</v>
      </c>
      <c r="B2" s="339"/>
      <c r="C2" s="339"/>
      <c r="D2" s="339"/>
      <c r="E2" s="339"/>
      <c r="F2" s="339"/>
      <c r="G2" s="339"/>
    </row>
    <row r="3" spans="1:7" ht="28.5" customHeight="1" x14ac:dyDescent="0.2">
      <c r="A3" s="339" t="s">
        <v>0</v>
      </c>
      <c r="B3" s="339"/>
      <c r="C3" s="339"/>
      <c r="D3" s="339"/>
      <c r="E3" s="339"/>
      <c r="F3" s="339"/>
      <c r="G3" s="339"/>
    </row>
    <row r="4" spans="1:7" ht="13.15" customHeight="1" x14ac:dyDescent="0.2">
      <c r="A4" s="2"/>
      <c r="B4" s="2"/>
      <c r="C4" s="2"/>
      <c r="D4" s="2"/>
      <c r="E4" s="2"/>
    </row>
    <row r="6" spans="1:7" ht="31.5" customHeight="1" x14ac:dyDescent="0.2">
      <c r="A6" s="340" t="s">
        <v>39</v>
      </c>
      <c r="B6" s="340"/>
      <c r="C6" s="340"/>
      <c r="D6" s="340"/>
      <c r="E6" s="340"/>
      <c r="F6" s="340"/>
      <c r="G6" s="340"/>
    </row>
    <row r="7" spans="1:7" ht="15.75" customHeight="1" x14ac:dyDescent="0.2"/>
    <row r="8" spans="1:7" ht="13.5" thickBot="1" x14ac:dyDescent="0.25">
      <c r="A8" s="341" t="s">
        <v>25</v>
      </c>
      <c r="B8" s="341"/>
      <c r="C8" s="341"/>
      <c r="D8" s="341"/>
      <c r="E8" s="341"/>
      <c r="F8" s="341"/>
      <c r="G8" s="341"/>
    </row>
    <row r="9" spans="1:7" ht="13.5" thickBot="1" x14ac:dyDescent="0.25">
      <c r="A9" s="36"/>
      <c r="B9" s="335" t="s">
        <v>2</v>
      </c>
      <c r="C9" s="335"/>
      <c r="D9" s="335"/>
      <c r="E9" s="335"/>
      <c r="F9" s="335"/>
      <c r="G9" s="336"/>
    </row>
    <row r="10" spans="1:7" ht="13.5" thickBot="1" x14ac:dyDescent="0.25">
      <c r="A10" s="27" t="s">
        <v>1</v>
      </c>
      <c r="B10" s="6">
        <v>0</v>
      </c>
      <c r="C10" s="4">
        <v>1</v>
      </c>
      <c r="D10" s="4">
        <v>2</v>
      </c>
      <c r="E10" s="4">
        <v>3</v>
      </c>
      <c r="F10" s="4">
        <v>4</v>
      </c>
      <c r="G10" s="5">
        <v>5</v>
      </c>
    </row>
    <row r="11" spans="1:7" x14ac:dyDescent="0.2">
      <c r="A11" s="7">
        <v>2010</v>
      </c>
      <c r="B11" s="40">
        <v>9</v>
      </c>
      <c r="C11" s="41">
        <v>12</v>
      </c>
      <c r="D11" s="41">
        <v>10</v>
      </c>
      <c r="E11" s="41">
        <v>11</v>
      </c>
      <c r="F11" s="41">
        <v>8</v>
      </c>
      <c r="G11" s="42">
        <v>0</v>
      </c>
    </row>
    <row r="12" spans="1:7" x14ac:dyDescent="0.2">
      <c r="A12" s="7">
        <v>2011</v>
      </c>
      <c r="B12" s="43">
        <v>13</v>
      </c>
      <c r="C12" s="44">
        <v>15</v>
      </c>
      <c r="D12" s="44">
        <v>8</v>
      </c>
      <c r="E12" s="44">
        <v>10</v>
      </c>
      <c r="F12" s="44">
        <v>14</v>
      </c>
      <c r="G12" s="45"/>
    </row>
    <row r="13" spans="1:7" x14ac:dyDescent="0.2">
      <c r="A13" s="7">
        <v>2012</v>
      </c>
      <c r="B13" s="43">
        <v>14</v>
      </c>
      <c r="C13" s="44">
        <v>15</v>
      </c>
      <c r="D13" s="44">
        <v>15</v>
      </c>
      <c r="E13" s="44">
        <v>16</v>
      </c>
      <c r="F13" s="44"/>
      <c r="G13" s="45"/>
    </row>
    <row r="14" spans="1:7" x14ac:dyDescent="0.2">
      <c r="A14" s="7">
        <v>2013</v>
      </c>
      <c r="B14" s="43">
        <v>16</v>
      </c>
      <c r="C14" s="44">
        <v>8</v>
      </c>
      <c r="D14" s="44">
        <v>18</v>
      </c>
      <c r="E14" s="44"/>
      <c r="F14" s="44"/>
      <c r="G14" s="45"/>
    </row>
    <row r="15" spans="1:7" x14ac:dyDescent="0.2">
      <c r="A15" s="7">
        <v>2014</v>
      </c>
      <c r="B15" s="43">
        <v>12</v>
      </c>
      <c r="C15" s="44">
        <v>14</v>
      </c>
      <c r="D15" s="44"/>
      <c r="E15" s="44"/>
      <c r="F15" s="44"/>
      <c r="G15" s="45"/>
    </row>
    <row r="16" spans="1:7" ht="13.5" thickBot="1" x14ac:dyDescent="0.25">
      <c r="A16" s="8">
        <v>2015</v>
      </c>
      <c r="B16" s="46">
        <v>11</v>
      </c>
      <c r="C16" s="47"/>
      <c r="D16" s="47"/>
      <c r="E16" s="47"/>
      <c r="F16" s="47"/>
      <c r="G16" s="48"/>
    </row>
    <row r="17" spans="1:7" x14ac:dyDescent="0.2">
      <c r="A17" s="92"/>
      <c r="B17" s="93"/>
      <c r="C17" s="93"/>
      <c r="D17" s="93"/>
      <c r="E17" s="93"/>
      <c r="F17" s="93"/>
      <c r="G17" s="93"/>
    </row>
    <row r="18" spans="1:7" x14ac:dyDescent="0.2">
      <c r="A18" s="92"/>
      <c r="B18" s="93"/>
      <c r="C18" s="93"/>
      <c r="D18" s="93"/>
      <c r="E18" s="93"/>
      <c r="F18" s="93"/>
      <c r="G18" s="93"/>
    </row>
    <row r="19" spans="1:7" ht="13.5" thickBot="1" x14ac:dyDescent="0.25">
      <c r="A19" s="341" t="s">
        <v>4</v>
      </c>
      <c r="B19" s="341"/>
      <c r="C19" s="341"/>
      <c r="D19" s="341"/>
      <c r="E19" s="341"/>
      <c r="F19" s="341"/>
      <c r="G19" s="341"/>
    </row>
    <row r="20" spans="1:7" ht="13.5" thickBot="1" x14ac:dyDescent="0.25">
      <c r="A20" s="36"/>
      <c r="B20" s="335" t="s">
        <v>2</v>
      </c>
      <c r="C20" s="335"/>
      <c r="D20" s="335"/>
      <c r="E20" s="335"/>
      <c r="F20" s="335"/>
      <c r="G20" s="336"/>
    </row>
    <row r="21" spans="1:7" ht="13.5" thickBot="1" x14ac:dyDescent="0.25">
      <c r="A21" s="27" t="s">
        <v>1</v>
      </c>
      <c r="B21" s="6">
        <v>0</v>
      </c>
      <c r="C21" s="4">
        <v>1</v>
      </c>
      <c r="D21" s="4">
        <v>2</v>
      </c>
      <c r="E21" s="4">
        <v>3</v>
      </c>
      <c r="F21" s="4">
        <v>4</v>
      </c>
      <c r="G21" s="5">
        <v>5</v>
      </c>
    </row>
    <row r="22" spans="1:7" x14ac:dyDescent="0.2">
      <c r="A22" s="7">
        <v>2010</v>
      </c>
      <c r="B22" s="40">
        <f>SUM($B11:B11)</f>
        <v>9</v>
      </c>
      <c r="C22" s="41">
        <f>SUM($B11:C11)</f>
        <v>21</v>
      </c>
      <c r="D22" s="41">
        <f>SUM($B11:D11)</f>
        <v>31</v>
      </c>
      <c r="E22" s="41">
        <f>SUM($B11:E11)</f>
        <v>42</v>
      </c>
      <c r="F22" s="41">
        <f>SUM($B11:F11)</f>
        <v>50</v>
      </c>
      <c r="G22" s="76">
        <f>SUM($B11:G11)</f>
        <v>50</v>
      </c>
    </row>
    <row r="23" spans="1:7" x14ac:dyDescent="0.2">
      <c r="A23" s="7">
        <v>2011</v>
      </c>
      <c r="B23" s="43">
        <f>SUM($B12:B12)</f>
        <v>13</v>
      </c>
      <c r="C23" s="44">
        <f>SUM($B12:C12)</f>
        <v>28</v>
      </c>
      <c r="D23" s="44">
        <f>SUM($B12:D12)</f>
        <v>36</v>
      </c>
      <c r="E23" s="44">
        <f>SUM($B12:E12)</f>
        <v>46</v>
      </c>
      <c r="F23" s="77">
        <f>SUM($B12:F12)</f>
        <v>60</v>
      </c>
      <c r="G23" s="45"/>
    </row>
    <row r="24" spans="1:7" x14ac:dyDescent="0.2">
      <c r="A24" s="7">
        <v>2012</v>
      </c>
      <c r="B24" s="43">
        <f>SUM($B13:B13)</f>
        <v>14</v>
      </c>
      <c r="C24" s="44">
        <f>SUM($B13:C13)</f>
        <v>29</v>
      </c>
      <c r="D24" s="44">
        <f>SUM($B13:D13)</f>
        <v>44</v>
      </c>
      <c r="E24" s="77">
        <f>SUM($B13:E13)</f>
        <v>60</v>
      </c>
      <c r="F24" s="44"/>
      <c r="G24" s="45"/>
    </row>
    <row r="25" spans="1:7" x14ac:dyDescent="0.2">
      <c r="A25" s="7">
        <v>2013</v>
      </c>
      <c r="B25" s="43">
        <f>SUM($B14:B14)</f>
        <v>16</v>
      </c>
      <c r="C25" s="44">
        <f>SUM($B14:C14)</f>
        <v>24</v>
      </c>
      <c r="D25" s="77">
        <f>SUM($B14:D14)</f>
        <v>42</v>
      </c>
      <c r="E25" s="44"/>
      <c r="F25" s="44"/>
      <c r="G25" s="45"/>
    </row>
    <row r="26" spans="1:7" x14ac:dyDescent="0.2">
      <c r="A26" s="7">
        <v>2014</v>
      </c>
      <c r="B26" s="43">
        <f>SUM($B15:B15)</f>
        <v>12</v>
      </c>
      <c r="C26" s="77">
        <f>SUM($B15:C15)</f>
        <v>26</v>
      </c>
      <c r="D26" s="44"/>
      <c r="E26" s="44"/>
      <c r="F26" s="44"/>
      <c r="G26" s="45"/>
    </row>
    <row r="27" spans="1:7" ht="13.5" thickBot="1" x14ac:dyDescent="0.25">
      <c r="A27" s="8">
        <v>2015</v>
      </c>
      <c r="B27" s="78">
        <f>SUM($B16:B16)</f>
        <v>11</v>
      </c>
      <c r="C27" s="47"/>
      <c r="D27" s="47"/>
      <c r="E27" s="47"/>
      <c r="F27" s="47"/>
      <c r="G27" s="48"/>
    </row>
    <row r="28" spans="1:7" x14ac:dyDescent="0.2">
      <c r="A28" s="92"/>
      <c r="B28" s="157"/>
      <c r="C28" s="93"/>
      <c r="D28" s="93"/>
      <c r="E28" s="93"/>
      <c r="F28" s="93"/>
      <c r="G28" s="93"/>
    </row>
    <row r="29" spans="1:7" x14ac:dyDescent="0.2">
      <c r="A29" s="92"/>
      <c r="B29" s="157"/>
      <c r="C29" s="93"/>
      <c r="D29" s="93"/>
      <c r="E29" s="93"/>
      <c r="F29" s="93"/>
      <c r="G29" s="93"/>
    </row>
    <row r="30" spans="1:7" ht="30.75" customHeight="1" thickBot="1" x14ac:dyDescent="0.25">
      <c r="A30" s="359" t="s">
        <v>54</v>
      </c>
      <c r="B30" s="359"/>
      <c r="C30" s="359"/>
      <c r="D30" s="359"/>
      <c r="E30" s="359"/>
      <c r="F30" s="93"/>
      <c r="G30" s="93"/>
    </row>
    <row r="31" spans="1:7" ht="26.25" thickBot="1" x14ac:dyDescent="0.25">
      <c r="A31" s="94" t="s">
        <v>1</v>
      </c>
      <c r="B31" s="97" t="s">
        <v>10</v>
      </c>
      <c r="C31" s="95" t="s">
        <v>6</v>
      </c>
      <c r="D31" s="96" t="s">
        <v>7</v>
      </c>
      <c r="E31" s="97" t="s">
        <v>8</v>
      </c>
      <c r="F31" s="93"/>
      <c r="G31" s="93"/>
    </row>
    <row r="32" spans="1:7" x14ac:dyDescent="0.2">
      <c r="A32" s="15">
        <v>2010</v>
      </c>
      <c r="B32" s="257">
        <v>62.5</v>
      </c>
      <c r="C32" s="256">
        <v>1</v>
      </c>
      <c r="D32" s="264">
        <v>1</v>
      </c>
      <c r="E32" s="265">
        <v>1</v>
      </c>
      <c r="F32" s="93"/>
      <c r="G32" s="93"/>
    </row>
    <row r="33" spans="1:7" x14ac:dyDescent="0.2">
      <c r="A33" s="7">
        <v>2011</v>
      </c>
      <c r="B33" s="257">
        <v>62.5</v>
      </c>
      <c r="C33" s="256">
        <f>SUM(G$22:G22)/SUM(F$22:F22)</f>
        <v>1</v>
      </c>
      <c r="D33" s="264">
        <f>PRODUCT(C$32:C33)</f>
        <v>1</v>
      </c>
      <c r="E33" s="265">
        <f>1/D33</f>
        <v>1</v>
      </c>
    </row>
    <row r="34" spans="1:7" x14ac:dyDescent="0.2">
      <c r="A34" s="7">
        <v>2012</v>
      </c>
      <c r="B34" s="257">
        <v>62.5</v>
      </c>
      <c r="C34" s="256">
        <f>SUM(F$22:F23)/SUM(E$22:E23)</f>
        <v>1.25</v>
      </c>
      <c r="D34" s="266">
        <f>PRODUCT(C$32:C34)</f>
        <v>1.25</v>
      </c>
      <c r="E34" s="267">
        <f>1/D34</f>
        <v>0.8</v>
      </c>
    </row>
    <row r="35" spans="1:7" x14ac:dyDescent="0.2">
      <c r="A35" s="7">
        <v>2013</v>
      </c>
      <c r="B35" s="257">
        <v>62.5</v>
      </c>
      <c r="C35" s="256">
        <f>SUM(E$22:E24)/SUM(D$22:D24)</f>
        <v>1.3333333333333333</v>
      </c>
      <c r="D35" s="266">
        <f>PRODUCT(C$32:C35)</f>
        <v>1.6666666666666665</v>
      </c>
      <c r="E35" s="267">
        <f>1/D35</f>
        <v>0.60000000000000009</v>
      </c>
    </row>
    <row r="36" spans="1:7" x14ac:dyDescent="0.2">
      <c r="A36" s="7">
        <v>2014</v>
      </c>
      <c r="B36" s="257">
        <v>62.5</v>
      </c>
      <c r="C36" s="256">
        <f>SUM(D$22:D25)/SUM(C$22:C25)</f>
        <v>1.5</v>
      </c>
      <c r="D36" s="266">
        <f>PRODUCT(C$32:C36)</f>
        <v>2.5</v>
      </c>
      <c r="E36" s="267">
        <f>1/D36</f>
        <v>0.4</v>
      </c>
    </row>
    <row r="37" spans="1:7" ht="13.5" thickBot="1" x14ac:dyDescent="0.25">
      <c r="A37" s="8">
        <v>2015</v>
      </c>
      <c r="B37" s="260">
        <v>62.5</v>
      </c>
      <c r="C37" s="259">
        <f>SUM(C$22:C26)/SUM(B$22:B26)</f>
        <v>2</v>
      </c>
      <c r="D37" s="268">
        <f>PRODUCT(C$32:C37)</f>
        <v>5</v>
      </c>
      <c r="E37" s="269">
        <f>1/D37</f>
        <v>0.2</v>
      </c>
    </row>
    <row r="38" spans="1:7" x14ac:dyDescent="0.2">
      <c r="A38" s="92"/>
      <c r="B38" s="79"/>
    </row>
    <row r="39" spans="1:7" x14ac:dyDescent="0.2">
      <c r="A39" s="92"/>
      <c r="B39" s="79"/>
    </row>
    <row r="40" spans="1:7" ht="13.5" thickBot="1" x14ac:dyDescent="0.25">
      <c r="A40" s="341" t="s">
        <v>38</v>
      </c>
      <c r="B40" s="341"/>
      <c r="C40" s="341"/>
      <c r="D40" s="341"/>
      <c r="E40" s="341"/>
      <c r="F40" s="341"/>
      <c r="G40" s="341"/>
    </row>
    <row r="41" spans="1:7" ht="13.5" thickBot="1" x14ac:dyDescent="0.25">
      <c r="A41" s="36"/>
      <c r="B41" s="335" t="s">
        <v>2</v>
      </c>
      <c r="C41" s="335"/>
      <c r="D41" s="335"/>
      <c r="E41" s="335"/>
      <c r="F41" s="335"/>
      <c r="G41" s="336"/>
    </row>
    <row r="42" spans="1:7" ht="13.5" thickBot="1" x14ac:dyDescent="0.25">
      <c r="A42" s="27" t="s">
        <v>1</v>
      </c>
      <c r="B42" s="6">
        <v>0</v>
      </c>
      <c r="C42" s="4">
        <v>1</v>
      </c>
      <c r="D42" s="4">
        <v>2</v>
      </c>
      <c r="E42" s="4">
        <v>3</v>
      </c>
      <c r="F42" s="4">
        <v>4</v>
      </c>
      <c r="G42" s="5">
        <v>5</v>
      </c>
    </row>
    <row r="43" spans="1:7" x14ac:dyDescent="0.2">
      <c r="A43" s="7">
        <v>2010</v>
      </c>
      <c r="B43" s="256">
        <f>B11/$B32</f>
        <v>0.14399999999999999</v>
      </c>
      <c r="C43" s="256">
        <f>C11/$B32</f>
        <v>0.192</v>
      </c>
      <c r="D43" s="256">
        <f t="shared" ref="D43:G43" si="0">D11/$B32</f>
        <v>0.16</v>
      </c>
      <c r="E43" s="256">
        <f t="shared" si="0"/>
        <v>0.17599999999999999</v>
      </c>
      <c r="F43" s="256">
        <f t="shared" si="0"/>
        <v>0.128</v>
      </c>
      <c r="G43" s="270">
        <f t="shared" si="0"/>
        <v>0</v>
      </c>
    </row>
    <row r="44" spans="1:7" x14ac:dyDescent="0.2">
      <c r="A44" s="7">
        <v>2011</v>
      </c>
      <c r="B44" s="256">
        <f t="shared" ref="B44:B47" si="1">B12/$B33</f>
        <v>0.20799999999999999</v>
      </c>
      <c r="C44" s="256">
        <f>C12/$B33</f>
        <v>0.24</v>
      </c>
      <c r="D44" s="256">
        <f>D12/$B33</f>
        <v>0.128</v>
      </c>
      <c r="E44" s="256">
        <f>E12/$B33</f>
        <v>0.16</v>
      </c>
      <c r="F44" s="256">
        <f>F12/$B33</f>
        <v>0.224</v>
      </c>
      <c r="G44" s="271"/>
    </row>
    <row r="45" spans="1:7" x14ac:dyDescent="0.2">
      <c r="A45" s="7">
        <v>2012</v>
      </c>
      <c r="B45" s="256">
        <f t="shared" si="1"/>
        <v>0.224</v>
      </c>
      <c r="C45" s="256">
        <f>C13/$B34</f>
        <v>0.24</v>
      </c>
      <c r="D45" s="256">
        <f>D13/$B34</f>
        <v>0.24</v>
      </c>
      <c r="E45" s="256">
        <f>E13/$B34</f>
        <v>0.25600000000000001</v>
      </c>
      <c r="F45" s="272"/>
      <c r="G45" s="271"/>
    </row>
    <row r="46" spans="1:7" x14ac:dyDescent="0.2">
      <c r="A46" s="7">
        <v>2013</v>
      </c>
      <c r="B46" s="256">
        <f t="shared" si="1"/>
        <v>0.25600000000000001</v>
      </c>
      <c r="C46" s="256">
        <f>C14/$B35</f>
        <v>0.128</v>
      </c>
      <c r="D46" s="256">
        <f>D14/$B35</f>
        <v>0.28799999999999998</v>
      </c>
      <c r="E46" s="272"/>
      <c r="F46" s="272"/>
      <c r="G46" s="271"/>
    </row>
    <row r="47" spans="1:7" x14ac:dyDescent="0.2">
      <c r="A47" s="7">
        <v>2014</v>
      </c>
      <c r="B47" s="256">
        <f t="shared" si="1"/>
        <v>0.192</v>
      </c>
      <c r="C47" s="256">
        <f>C15/$B36</f>
        <v>0.224</v>
      </c>
      <c r="D47" s="272"/>
      <c r="E47" s="272"/>
      <c r="F47" s="272"/>
      <c r="G47" s="271"/>
    </row>
    <row r="48" spans="1:7" ht="13.5" thickBot="1" x14ac:dyDescent="0.25">
      <c r="A48" s="8">
        <v>2015</v>
      </c>
      <c r="B48" s="259">
        <f>B16/$B37</f>
        <v>0.17599999999999999</v>
      </c>
      <c r="C48" s="273"/>
      <c r="D48" s="273"/>
      <c r="E48" s="273"/>
      <c r="F48" s="273"/>
      <c r="G48" s="274"/>
    </row>
    <row r="51" spans="1:8" ht="27" customHeight="1" thickBot="1" x14ac:dyDescent="0.25">
      <c r="A51" s="341" t="s">
        <v>50</v>
      </c>
      <c r="B51" s="341"/>
      <c r="C51" s="341"/>
      <c r="D51" s="341"/>
      <c r="E51" s="341"/>
      <c r="F51" s="341"/>
      <c r="G51" s="341"/>
    </row>
    <row r="52" spans="1:8" ht="13.5" thickBot="1" x14ac:dyDescent="0.25">
      <c r="A52" s="36"/>
      <c r="B52" s="335" t="s">
        <v>2</v>
      </c>
      <c r="C52" s="335"/>
      <c r="D52" s="335"/>
      <c r="E52" s="335"/>
      <c r="F52" s="335"/>
      <c r="G52" s="336"/>
    </row>
    <row r="53" spans="1:8" ht="13.5" thickBot="1" x14ac:dyDescent="0.25">
      <c r="A53" s="27" t="s">
        <v>1</v>
      </c>
      <c r="B53" s="6">
        <v>0</v>
      </c>
      <c r="C53" s="4">
        <v>1</v>
      </c>
      <c r="D53" s="4">
        <v>2</v>
      </c>
      <c r="E53" s="4">
        <v>3</v>
      </c>
      <c r="F53" s="4">
        <v>4</v>
      </c>
      <c r="G53" s="5">
        <v>5</v>
      </c>
    </row>
    <row r="54" spans="1:8" x14ac:dyDescent="0.2">
      <c r="A54" s="7">
        <v>2010</v>
      </c>
      <c r="B54" s="256">
        <f>B43</f>
        <v>0.14399999999999999</v>
      </c>
      <c r="C54" s="275">
        <f t="shared" ref="C54:G54" si="2">C43</f>
        <v>0.192</v>
      </c>
      <c r="D54" s="256">
        <f t="shared" si="2"/>
        <v>0.16</v>
      </c>
      <c r="E54" s="256">
        <f t="shared" si="2"/>
        <v>0.17599999999999999</v>
      </c>
      <c r="F54" s="256">
        <f t="shared" si="2"/>
        <v>0.128</v>
      </c>
      <c r="G54" s="270">
        <f t="shared" si="2"/>
        <v>0</v>
      </c>
    </row>
    <row r="55" spans="1:8" x14ac:dyDescent="0.2">
      <c r="A55" s="7">
        <v>2011</v>
      </c>
      <c r="B55" s="256">
        <f t="shared" ref="B55:F55" si="3">B44</f>
        <v>0.20799999999999999</v>
      </c>
      <c r="C55" s="275">
        <f t="shared" si="3"/>
        <v>0.24</v>
      </c>
      <c r="D55" s="256">
        <f t="shared" si="3"/>
        <v>0.128</v>
      </c>
      <c r="E55" s="256">
        <f t="shared" si="3"/>
        <v>0.16</v>
      </c>
      <c r="F55" s="275">
        <f t="shared" si="3"/>
        <v>0.224</v>
      </c>
      <c r="G55" s="270"/>
    </row>
    <row r="56" spans="1:8" x14ac:dyDescent="0.2">
      <c r="A56" s="7">
        <v>2012</v>
      </c>
      <c r="B56" s="256">
        <f t="shared" ref="B56:E56" si="4">B45</f>
        <v>0.224</v>
      </c>
      <c r="C56" s="275">
        <f t="shared" si="4"/>
        <v>0.24</v>
      </c>
      <c r="D56" s="275">
        <f t="shared" si="4"/>
        <v>0.24</v>
      </c>
      <c r="E56" s="275">
        <f t="shared" si="4"/>
        <v>0.25600000000000001</v>
      </c>
      <c r="F56" s="256"/>
      <c r="G56" s="270"/>
    </row>
    <row r="57" spans="1:8" x14ac:dyDescent="0.2">
      <c r="A57" s="7">
        <v>2013</v>
      </c>
      <c r="B57" s="256">
        <f t="shared" ref="B57:D57" si="5">B46</f>
        <v>0.25600000000000001</v>
      </c>
      <c r="C57" s="275">
        <f t="shared" si="5"/>
        <v>0.128</v>
      </c>
      <c r="D57" s="275">
        <f t="shared" si="5"/>
        <v>0.28799999999999998</v>
      </c>
      <c r="E57" s="256"/>
      <c r="F57" s="256"/>
      <c r="G57" s="270"/>
    </row>
    <row r="58" spans="1:8" x14ac:dyDescent="0.2">
      <c r="A58" s="7">
        <v>2014</v>
      </c>
      <c r="B58" s="256">
        <f t="shared" ref="B58:C58" si="6">B47</f>
        <v>0.192</v>
      </c>
      <c r="C58" s="275">
        <f t="shared" si="6"/>
        <v>0.224</v>
      </c>
      <c r="D58" s="256"/>
      <c r="E58" s="256"/>
      <c r="F58" s="256"/>
      <c r="G58" s="270"/>
    </row>
    <row r="59" spans="1:8" ht="13.5" thickBot="1" x14ac:dyDescent="0.25">
      <c r="A59" s="8">
        <v>2015</v>
      </c>
      <c r="B59" s="259">
        <f t="shared" ref="B59" si="7">B48</f>
        <v>0.17599999999999999</v>
      </c>
      <c r="C59" s="259"/>
      <c r="D59" s="259"/>
      <c r="E59" s="259"/>
      <c r="F59" s="259"/>
      <c r="G59" s="276"/>
    </row>
    <row r="60" spans="1:8" x14ac:dyDescent="0.2">
      <c r="A60" s="92"/>
      <c r="B60" s="98"/>
      <c r="C60" s="93"/>
      <c r="D60" s="93"/>
      <c r="E60" s="93"/>
      <c r="F60" s="93"/>
      <c r="G60" s="93"/>
    </row>
    <row r="61" spans="1:8" x14ac:dyDescent="0.2">
      <c r="A61" s="92"/>
      <c r="B61" s="98"/>
      <c r="C61" s="93"/>
      <c r="D61" s="93"/>
      <c r="E61" s="93"/>
      <c r="F61" s="93"/>
      <c r="G61" s="93"/>
    </row>
    <row r="62" spans="1:8" ht="27" customHeight="1" thickBot="1" x14ac:dyDescent="0.25">
      <c r="A62" s="341" t="s">
        <v>51</v>
      </c>
      <c r="B62" s="341"/>
      <c r="C62" s="341"/>
      <c r="D62" s="341"/>
      <c r="E62" s="341"/>
      <c r="F62" s="341"/>
      <c r="G62" s="341"/>
    </row>
    <row r="63" spans="1:8" ht="13.5" thickBot="1" x14ac:dyDescent="0.25">
      <c r="A63" s="36"/>
      <c r="B63" s="335" t="s">
        <v>2</v>
      </c>
      <c r="C63" s="335"/>
      <c r="D63" s="335"/>
      <c r="E63" s="335"/>
      <c r="F63" s="335"/>
      <c r="G63" s="336"/>
    </row>
    <row r="64" spans="1:8" ht="13.5" thickBot="1" x14ac:dyDescent="0.25">
      <c r="A64" s="27" t="s">
        <v>1</v>
      </c>
      <c r="B64" s="6">
        <v>0</v>
      </c>
      <c r="C64" s="4">
        <v>1</v>
      </c>
      <c r="D64" s="4">
        <v>2</v>
      </c>
      <c r="E64" s="4">
        <v>3</v>
      </c>
      <c r="F64" s="4">
        <v>4</v>
      </c>
      <c r="G64" s="155">
        <v>5</v>
      </c>
      <c r="H64" s="156" t="s">
        <v>52</v>
      </c>
    </row>
    <row r="65" spans="1:8" x14ac:dyDescent="0.2">
      <c r="A65" s="7">
        <v>2010</v>
      </c>
      <c r="B65" s="256">
        <f t="shared" ref="B65:B70" si="8">B11/$B32</f>
        <v>0.14399999999999999</v>
      </c>
      <c r="C65" s="256">
        <f t="shared" ref="C65:G65" si="9">C11/$B32</f>
        <v>0.192</v>
      </c>
      <c r="D65" s="256">
        <f t="shared" si="9"/>
        <v>0.16</v>
      </c>
      <c r="E65" s="256">
        <f t="shared" si="9"/>
        <v>0.17599999999999999</v>
      </c>
      <c r="F65" s="256">
        <f t="shared" si="9"/>
        <v>0.128</v>
      </c>
      <c r="G65" s="277">
        <f t="shared" si="9"/>
        <v>0</v>
      </c>
      <c r="H65" s="278">
        <f>SUM(B65:G65)</f>
        <v>0.79999999999999993</v>
      </c>
    </row>
    <row r="66" spans="1:8" x14ac:dyDescent="0.2">
      <c r="A66" s="7">
        <v>2011</v>
      </c>
      <c r="B66" s="279">
        <f t="shared" si="8"/>
        <v>0.20799999999999999</v>
      </c>
      <c r="C66" s="266">
        <f>C12/$B33</f>
        <v>0.24</v>
      </c>
      <c r="D66" s="266">
        <f>D12/$B33</f>
        <v>0.128</v>
      </c>
      <c r="E66" s="266">
        <f>E12/$B33</f>
        <v>0.16</v>
      </c>
      <c r="F66" s="266">
        <f>F12/$B33</f>
        <v>0.224</v>
      </c>
      <c r="G66" s="280">
        <f>AVERAGE(G$65)</f>
        <v>0</v>
      </c>
      <c r="H66" s="281">
        <f t="shared" ref="H66:H69" si="10">SUM(B66:G66)</f>
        <v>0.96</v>
      </c>
    </row>
    <row r="67" spans="1:8" x14ac:dyDescent="0.2">
      <c r="A67" s="7">
        <v>2012</v>
      </c>
      <c r="B67" s="279">
        <f t="shared" si="8"/>
        <v>0.224</v>
      </c>
      <c r="C67" s="266">
        <f>C13/$B34</f>
        <v>0.24</v>
      </c>
      <c r="D67" s="266">
        <f>D13/$B34</f>
        <v>0.24</v>
      </c>
      <c r="E67" s="266">
        <f>E13/$B34</f>
        <v>0.25600000000000001</v>
      </c>
      <c r="F67" s="282">
        <f>AVERAGE(F$66)</f>
        <v>0.224</v>
      </c>
      <c r="G67" s="280">
        <f t="shared" ref="G67:G70" si="11">AVERAGE(G$65)</f>
        <v>0</v>
      </c>
      <c r="H67" s="281">
        <f t="shared" si="10"/>
        <v>1.1839999999999999</v>
      </c>
    </row>
    <row r="68" spans="1:8" x14ac:dyDescent="0.2">
      <c r="A68" s="7">
        <v>2013</v>
      </c>
      <c r="B68" s="279">
        <f t="shared" si="8"/>
        <v>0.25600000000000001</v>
      </c>
      <c r="C68" s="266">
        <f>C14/$B35</f>
        <v>0.128</v>
      </c>
      <c r="D68" s="266">
        <f>D14/$B35</f>
        <v>0.28799999999999998</v>
      </c>
      <c r="E68" s="282">
        <f>AVERAGE(E$67)</f>
        <v>0.25600000000000001</v>
      </c>
      <c r="F68" s="282">
        <f t="shared" ref="F68:F70" si="12">AVERAGE(F$66)</f>
        <v>0.224</v>
      </c>
      <c r="G68" s="280">
        <f t="shared" si="11"/>
        <v>0</v>
      </c>
      <c r="H68" s="281">
        <f t="shared" si="10"/>
        <v>1.1519999999999999</v>
      </c>
    </row>
    <row r="69" spans="1:8" x14ac:dyDescent="0.2">
      <c r="A69" s="7">
        <v>2014</v>
      </c>
      <c r="B69" s="279">
        <f t="shared" si="8"/>
        <v>0.192</v>
      </c>
      <c r="C69" s="266">
        <f>C15/$B36</f>
        <v>0.224</v>
      </c>
      <c r="D69" s="282">
        <f>AVERAGE(D$67:D$68)</f>
        <v>0.26400000000000001</v>
      </c>
      <c r="E69" s="282">
        <f t="shared" ref="E69:E70" si="13">AVERAGE(E$67)</f>
        <v>0.25600000000000001</v>
      </c>
      <c r="F69" s="282">
        <f t="shared" si="12"/>
        <v>0.224</v>
      </c>
      <c r="G69" s="280">
        <f t="shared" si="11"/>
        <v>0</v>
      </c>
      <c r="H69" s="281">
        <f t="shared" si="10"/>
        <v>1.1600000000000001</v>
      </c>
    </row>
    <row r="70" spans="1:8" ht="13.5" thickBot="1" x14ac:dyDescent="0.25">
      <c r="A70" s="8">
        <v>2015</v>
      </c>
      <c r="B70" s="283">
        <f t="shared" si="8"/>
        <v>0.17599999999999999</v>
      </c>
      <c r="C70" s="284">
        <f>AVERAGE(C$65:C$69)</f>
        <v>0.20480000000000001</v>
      </c>
      <c r="D70" s="284">
        <f>AVERAGE(D$67:D$68)</f>
        <v>0.26400000000000001</v>
      </c>
      <c r="E70" s="284">
        <f t="shared" si="13"/>
        <v>0.25600000000000001</v>
      </c>
      <c r="F70" s="284">
        <f t="shared" si="12"/>
        <v>0.224</v>
      </c>
      <c r="G70" s="285">
        <f t="shared" si="11"/>
        <v>0</v>
      </c>
      <c r="H70" s="286">
        <f>SUM(B70:G70)</f>
        <v>1.1248</v>
      </c>
    </row>
    <row r="71" spans="1:8" x14ac:dyDescent="0.2">
      <c r="A71" s="92"/>
      <c r="B71" s="98"/>
      <c r="C71" s="93"/>
      <c r="D71" s="93"/>
      <c r="E71" s="93"/>
      <c r="F71" s="93"/>
      <c r="G71" s="93"/>
    </row>
    <row r="72" spans="1:8" ht="18.75" customHeight="1" x14ac:dyDescent="0.2"/>
    <row r="73" spans="1:8" ht="13.5" customHeight="1" thickBot="1" x14ac:dyDescent="0.25">
      <c r="A73" s="342" t="s">
        <v>37</v>
      </c>
      <c r="B73" s="342"/>
      <c r="C73" s="342"/>
      <c r="D73" s="342"/>
      <c r="E73" s="342"/>
      <c r="F73" s="342"/>
      <c r="G73" s="10"/>
    </row>
    <row r="74" spans="1:8" ht="52.5" customHeight="1" thickBot="1" x14ac:dyDescent="0.25">
      <c r="A74" s="36"/>
      <c r="B74" s="25" t="s">
        <v>10</v>
      </c>
      <c r="C74" s="25" t="s">
        <v>53</v>
      </c>
      <c r="D74" s="25" t="s">
        <v>8</v>
      </c>
      <c r="E74" s="25" t="s">
        <v>16</v>
      </c>
      <c r="F74" s="26" t="s">
        <v>18</v>
      </c>
    </row>
    <row r="75" spans="1:8" ht="18" customHeight="1" thickBot="1" x14ac:dyDescent="0.25">
      <c r="A75" s="27" t="s">
        <v>1</v>
      </c>
      <c r="B75" s="330" t="s">
        <v>11</v>
      </c>
      <c r="C75" s="330" t="s">
        <v>14</v>
      </c>
      <c r="D75" s="330" t="s">
        <v>12</v>
      </c>
      <c r="E75" s="330" t="s">
        <v>15</v>
      </c>
      <c r="F75" s="333" t="s">
        <v>57</v>
      </c>
    </row>
    <row r="76" spans="1:8" x14ac:dyDescent="0.2">
      <c r="A76" s="7">
        <v>2010</v>
      </c>
      <c r="B76" s="287">
        <f>B32</f>
        <v>62.5</v>
      </c>
      <c r="C76" s="288">
        <f>H65</f>
        <v>0.79999999999999993</v>
      </c>
      <c r="D76" s="288">
        <f>E32</f>
        <v>1</v>
      </c>
      <c r="E76" s="289">
        <f t="shared" ref="E76:E81" si="14">1-D76</f>
        <v>0</v>
      </c>
      <c r="F76" s="290">
        <f>B76*C76*E76</f>
        <v>0</v>
      </c>
    </row>
    <row r="77" spans="1:8" x14ac:dyDescent="0.2">
      <c r="A77" s="7">
        <v>2011</v>
      </c>
      <c r="B77" s="291">
        <f t="shared" ref="B77:B81" si="15">B33</f>
        <v>62.5</v>
      </c>
      <c r="C77" s="256">
        <f t="shared" ref="C77:C81" si="16">H66</f>
        <v>0.96</v>
      </c>
      <c r="D77" s="256">
        <f>E33</f>
        <v>1</v>
      </c>
      <c r="E77" s="49">
        <f>1-D77</f>
        <v>0</v>
      </c>
      <c r="F77" s="292">
        <f t="shared" ref="F77:F81" si="17">B77*C77*E77</f>
        <v>0</v>
      </c>
    </row>
    <row r="78" spans="1:8" x14ac:dyDescent="0.2">
      <c r="A78" s="7">
        <v>2012</v>
      </c>
      <c r="B78" s="291">
        <f t="shared" si="15"/>
        <v>62.5</v>
      </c>
      <c r="C78" s="256">
        <f t="shared" si="16"/>
        <v>1.1839999999999999</v>
      </c>
      <c r="D78" s="256">
        <f t="shared" ref="D78:D81" si="18">E34</f>
        <v>0.8</v>
      </c>
      <c r="E78" s="49">
        <f t="shared" si="14"/>
        <v>0.19999999999999996</v>
      </c>
      <c r="F78" s="292">
        <f t="shared" si="17"/>
        <v>14.799999999999997</v>
      </c>
    </row>
    <row r="79" spans="1:8" x14ac:dyDescent="0.2">
      <c r="A79" s="7">
        <v>2013</v>
      </c>
      <c r="B79" s="291">
        <f t="shared" si="15"/>
        <v>62.5</v>
      </c>
      <c r="C79" s="256">
        <f t="shared" si="16"/>
        <v>1.1519999999999999</v>
      </c>
      <c r="D79" s="256">
        <f t="shared" si="18"/>
        <v>0.60000000000000009</v>
      </c>
      <c r="E79" s="49">
        <f t="shared" si="14"/>
        <v>0.39999999999999991</v>
      </c>
      <c r="F79" s="292">
        <f t="shared" si="17"/>
        <v>28.799999999999994</v>
      </c>
    </row>
    <row r="80" spans="1:8" x14ac:dyDescent="0.2">
      <c r="A80" s="7">
        <v>2014</v>
      </c>
      <c r="B80" s="291">
        <f t="shared" si="15"/>
        <v>62.5</v>
      </c>
      <c r="C80" s="256">
        <f t="shared" si="16"/>
        <v>1.1600000000000001</v>
      </c>
      <c r="D80" s="256">
        <f t="shared" si="18"/>
        <v>0.4</v>
      </c>
      <c r="E80" s="49">
        <f t="shared" si="14"/>
        <v>0.6</v>
      </c>
      <c r="F80" s="292">
        <f t="shared" si="17"/>
        <v>43.500000000000007</v>
      </c>
    </row>
    <row r="81" spans="1:6" ht="13.5" thickBot="1" x14ac:dyDescent="0.25">
      <c r="A81" s="8">
        <v>2015</v>
      </c>
      <c r="B81" s="293">
        <f t="shared" si="15"/>
        <v>62.5</v>
      </c>
      <c r="C81" s="259">
        <f t="shared" si="16"/>
        <v>1.1248</v>
      </c>
      <c r="D81" s="259">
        <f t="shared" si="18"/>
        <v>0.2</v>
      </c>
      <c r="E81" s="241">
        <f t="shared" si="14"/>
        <v>0.8</v>
      </c>
      <c r="F81" s="294">
        <f t="shared" si="17"/>
        <v>56.24</v>
      </c>
    </row>
    <row r="82" spans="1:6" x14ac:dyDescent="0.2">
      <c r="C82" s="79"/>
      <c r="D82" s="79"/>
      <c r="E82" s="159" t="s">
        <v>55</v>
      </c>
      <c r="F82" s="261">
        <f>SUM(F76:F81)</f>
        <v>143.34</v>
      </c>
    </row>
    <row r="85" spans="1:6" ht="15" x14ac:dyDescent="0.2">
      <c r="F85" s="158"/>
    </row>
    <row r="90" spans="1:6" x14ac:dyDescent="0.2">
      <c r="E90" s="160"/>
    </row>
    <row r="94" spans="1:6" ht="15" x14ac:dyDescent="0.2">
      <c r="F94" s="334">
        <f>F82</f>
        <v>143.34</v>
      </c>
    </row>
    <row r="96" spans="1:6" ht="15" x14ac:dyDescent="0.2">
      <c r="F96" s="21"/>
    </row>
  </sheetData>
  <mergeCells count="16">
    <mergeCell ref="B9:G9"/>
    <mergeCell ref="A1:G1"/>
    <mergeCell ref="A2:G2"/>
    <mergeCell ref="A3:G3"/>
    <mergeCell ref="A6:G6"/>
    <mergeCell ref="A8:G8"/>
    <mergeCell ref="A19:G19"/>
    <mergeCell ref="B20:G20"/>
    <mergeCell ref="A30:E30"/>
    <mergeCell ref="A73:F73"/>
    <mergeCell ref="A40:G40"/>
    <mergeCell ref="B41:G41"/>
    <mergeCell ref="A62:G62"/>
    <mergeCell ref="B63:G63"/>
    <mergeCell ref="A51:G51"/>
    <mergeCell ref="B52:G52"/>
  </mergeCells>
  <pageMargins left="0.70866141732283472" right="0.70472440944881887" top="0.74803149606299213" bottom="0.55118110236220474" header="0.31496062992125984" footer="0.31496062992125984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19"/>
  <sheetViews>
    <sheetView zoomScaleNormal="100" workbookViewId="0">
      <selection sqref="A1:G1"/>
    </sheetView>
  </sheetViews>
  <sheetFormatPr defaultRowHeight="12.75" x14ac:dyDescent="0.2"/>
  <cols>
    <col min="1" max="3" width="12.140625" customWidth="1"/>
    <col min="4" max="5" width="12.140625" style="1" customWidth="1"/>
    <col min="6" max="6" width="12.140625" customWidth="1"/>
    <col min="7" max="7" width="12.85546875" customWidth="1"/>
    <col min="8" max="9" width="10.85546875" customWidth="1"/>
    <col min="10" max="11" width="13.140625" customWidth="1"/>
    <col min="12" max="12" width="19.140625" customWidth="1"/>
  </cols>
  <sheetData>
    <row r="1" spans="1:18" ht="32.450000000000003" customHeight="1" x14ac:dyDescent="0.2">
      <c r="A1" s="337" t="s">
        <v>93</v>
      </c>
      <c r="B1" s="338"/>
      <c r="C1" s="338"/>
      <c r="D1" s="338"/>
      <c r="E1" s="338"/>
      <c r="F1" s="338"/>
      <c r="G1" s="338"/>
    </row>
    <row r="2" spans="1:18" ht="20.45" customHeight="1" x14ac:dyDescent="0.2">
      <c r="A2" s="339" t="s">
        <v>20</v>
      </c>
      <c r="B2" s="339"/>
      <c r="C2" s="339"/>
      <c r="D2" s="339"/>
      <c r="E2" s="339"/>
      <c r="F2" s="339"/>
      <c r="G2" s="339"/>
    </row>
    <row r="3" spans="1:18" ht="28.5" customHeight="1" x14ac:dyDescent="0.2">
      <c r="A3" s="352" t="s">
        <v>0</v>
      </c>
      <c r="B3" s="352"/>
      <c r="C3" s="352"/>
      <c r="D3" s="352"/>
      <c r="E3" s="352"/>
      <c r="F3" s="352"/>
      <c r="G3" s="352"/>
    </row>
    <row r="4" spans="1:18" ht="13.15" customHeight="1" x14ac:dyDescent="0.2">
      <c r="A4" s="2"/>
      <c r="B4" s="2"/>
      <c r="C4" s="2"/>
      <c r="D4" s="2"/>
      <c r="E4" s="2"/>
    </row>
    <row r="6" spans="1:18" ht="31.5" customHeight="1" x14ac:dyDescent="0.2">
      <c r="A6" s="340" t="s">
        <v>56</v>
      </c>
      <c r="B6" s="340"/>
      <c r="C6" s="340"/>
      <c r="D6" s="340"/>
      <c r="E6" s="340"/>
      <c r="F6" s="340"/>
      <c r="G6" s="340"/>
    </row>
    <row r="7" spans="1:18" ht="15.75" customHeight="1" thickBot="1" x14ac:dyDescent="0.25"/>
    <row r="8" spans="1:18" ht="27" customHeight="1" thickBot="1" x14ac:dyDescent="0.25">
      <c r="A8" s="341" t="s">
        <v>25</v>
      </c>
      <c r="B8" s="341"/>
      <c r="C8" s="341"/>
      <c r="D8" s="341"/>
      <c r="E8" s="341"/>
      <c r="F8" s="341"/>
      <c r="G8" s="341"/>
      <c r="I8" s="362" t="s">
        <v>58</v>
      </c>
      <c r="J8" s="363"/>
      <c r="K8" s="363"/>
      <c r="L8" s="364"/>
      <c r="M8" s="186"/>
      <c r="N8" s="186"/>
      <c r="O8" s="186"/>
      <c r="P8" s="186"/>
      <c r="Q8" s="186"/>
      <c r="R8" s="186"/>
    </row>
    <row r="9" spans="1:18" ht="13.5" thickBot="1" x14ac:dyDescent="0.25">
      <c r="A9" s="36"/>
      <c r="B9" s="335" t="s">
        <v>2</v>
      </c>
      <c r="C9" s="335"/>
      <c r="D9" s="335"/>
      <c r="E9" s="335"/>
      <c r="F9" s="335"/>
      <c r="G9" s="336"/>
      <c r="I9" s="365" t="s">
        <v>35</v>
      </c>
      <c r="J9" s="366"/>
      <c r="K9" s="366"/>
      <c r="L9" s="367"/>
      <c r="M9" s="186"/>
      <c r="N9" s="186"/>
      <c r="O9" s="186"/>
      <c r="P9" s="186"/>
      <c r="Q9" s="186"/>
      <c r="R9" s="186"/>
    </row>
    <row r="10" spans="1:18" ht="26.25" thickBot="1" x14ac:dyDescent="0.25">
      <c r="A10" s="27" t="s">
        <v>1</v>
      </c>
      <c r="B10" s="6">
        <v>0</v>
      </c>
      <c r="C10" s="4">
        <v>1</v>
      </c>
      <c r="D10" s="4">
        <v>2</v>
      </c>
      <c r="E10" s="4">
        <v>3</v>
      </c>
      <c r="F10" s="4">
        <v>4</v>
      </c>
      <c r="G10" s="5">
        <v>5</v>
      </c>
      <c r="I10" s="187" t="s">
        <v>29</v>
      </c>
      <c r="J10" s="188" t="s">
        <v>30</v>
      </c>
      <c r="K10" s="189" t="s">
        <v>31</v>
      </c>
      <c r="L10" s="190" t="s">
        <v>32</v>
      </c>
      <c r="M10" s="360" t="s">
        <v>34</v>
      </c>
      <c r="N10" s="360"/>
      <c r="O10" s="360"/>
      <c r="P10" s="360"/>
      <c r="Q10" s="360"/>
      <c r="R10" s="360"/>
    </row>
    <row r="11" spans="1:18" x14ac:dyDescent="0.2">
      <c r="A11" s="7">
        <v>2010</v>
      </c>
      <c r="B11" s="40">
        <v>9</v>
      </c>
      <c r="C11" s="41">
        <v>12</v>
      </c>
      <c r="D11" s="41">
        <v>10</v>
      </c>
      <c r="E11" s="41">
        <v>11</v>
      </c>
      <c r="F11" s="41">
        <v>8</v>
      </c>
      <c r="G11" s="42">
        <v>0</v>
      </c>
      <c r="I11" s="191">
        <v>2010</v>
      </c>
      <c r="J11" s="192">
        <v>0.01</v>
      </c>
      <c r="K11" s="295">
        <f>1+J11</f>
        <v>1.01</v>
      </c>
      <c r="L11" s="296">
        <f>PRODUCT(K11:K$16)</f>
        <v>1.0979821461549377</v>
      </c>
      <c r="M11" s="193">
        <f>L11</f>
        <v>1.0979821461549377</v>
      </c>
      <c r="N11" s="193">
        <f>L12</f>
        <v>1.087111035796968</v>
      </c>
      <c r="O11" s="193">
        <f>L13</f>
        <v>1.0463051355120001</v>
      </c>
      <c r="P11" s="193">
        <f>L14</f>
        <v>1.0099470419999999</v>
      </c>
      <c r="Q11" s="193">
        <f>L15</f>
        <v>0.99600299999999997</v>
      </c>
      <c r="R11" s="193">
        <f>L16</f>
        <v>0.997</v>
      </c>
    </row>
    <row r="12" spans="1:18" x14ac:dyDescent="0.2">
      <c r="A12" s="7">
        <v>2011</v>
      </c>
      <c r="B12" s="43">
        <v>13</v>
      </c>
      <c r="C12" s="44">
        <v>15</v>
      </c>
      <c r="D12" s="44">
        <v>8</v>
      </c>
      <c r="E12" s="44">
        <v>10</v>
      </c>
      <c r="F12" s="44">
        <v>14</v>
      </c>
      <c r="G12" s="45"/>
      <c r="I12" s="191">
        <v>2011</v>
      </c>
      <c r="J12" s="192">
        <v>3.9E-2</v>
      </c>
      <c r="K12" s="295">
        <f t="shared" ref="K12:K16" si="0">1+J12</f>
        <v>1.0389999999999999</v>
      </c>
      <c r="L12" s="296">
        <f>PRODUCT(K12:K$16)</f>
        <v>1.087111035796968</v>
      </c>
      <c r="M12" s="193">
        <f t="shared" ref="M12:M16" si="1">L12</f>
        <v>1.087111035796968</v>
      </c>
      <c r="N12" s="193">
        <f>L13</f>
        <v>1.0463051355120001</v>
      </c>
      <c r="O12" s="193">
        <f>L14</f>
        <v>1.0099470419999999</v>
      </c>
      <c r="P12" s="193">
        <f>L15</f>
        <v>0.99600299999999997</v>
      </c>
      <c r="Q12" s="193">
        <f>L16</f>
        <v>0.997</v>
      </c>
      <c r="R12" s="186"/>
    </row>
    <row r="13" spans="1:18" x14ac:dyDescent="0.2">
      <c r="A13" s="7">
        <v>2012</v>
      </c>
      <c r="B13" s="43">
        <v>14</v>
      </c>
      <c r="C13" s="44">
        <v>15</v>
      </c>
      <c r="D13" s="44">
        <v>15</v>
      </c>
      <c r="E13" s="44">
        <v>16</v>
      </c>
      <c r="F13" s="44"/>
      <c r="G13" s="45"/>
      <c r="I13" s="191">
        <v>2012</v>
      </c>
      <c r="J13" s="192">
        <v>3.5999999999999997E-2</v>
      </c>
      <c r="K13" s="295">
        <f t="shared" si="0"/>
        <v>1.036</v>
      </c>
      <c r="L13" s="296">
        <f>PRODUCT(K13:K$16)</f>
        <v>1.0463051355120001</v>
      </c>
      <c r="M13" s="193">
        <f t="shared" si="1"/>
        <v>1.0463051355120001</v>
      </c>
      <c r="N13" s="193">
        <f>L14</f>
        <v>1.0099470419999999</v>
      </c>
      <c r="O13" s="193">
        <f>L15</f>
        <v>0.99600299999999997</v>
      </c>
      <c r="P13" s="193">
        <f>L16</f>
        <v>0.997</v>
      </c>
      <c r="Q13" s="186"/>
      <c r="R13" s="186"/>
    </row>
    <row r="14" spans="1:18" x14ac:dyDescent="0.2">
      <c r="A14" s="7">
        <v>2013</v>
      </c>
      <c r="B14" s="43">
        <v>16</v>
      </c>
      <c r="C14" s="44">
        <v>8</v>
      </c>
      <c r="D14" s="44">
        <v>18</v>
      </c>
      <c r="E14" s="44"/>
      <c r="F14" s="44"/>
      <c r="G14" s="45"/>
      <c r="I14" s="191">
        <v>2013</v>
      </c>
      <c r="J14" s="192">
        <v>1.4E-2</v>
      </c>
      <c r="K14" s="295">
        <f t="shared" si="0"/>
        <v>1.014</v>
      </c>
      <c r="L14" s="296">
        <f>PRODUCT(K14:K$16)</f>
        <v>1.0099470419999999</v>
      </c>
      <c r="M14" s="193">
        <f t="shared" si="1"/>
        <v>1.0099470419999999</v>
      </c>
      <c r="N14" s="193">
        <f>L15</f>
        <v>0.99600299999999997</v>
      </c>
      <c r="O14" s="193">
        <f>L16</f>
        <v>0.997</v>
      </c>
      <c r="P14" s="186"/>
      <c r="Q14" s="186"/>
      <c r="R14" s="186"/>
    </row>
    <row r="15" spans="1:18" x14ac:dyDescent="0.2">
      <c r="A15" s="7">
        <v>2014</v>
      </c>
      <c r="B15" s="43">
        <v>12</v>
      </c>
      <c r="C15" s="44">
        <v>14</v>
      </c>
      <c r="D15" s="44"/>
      <c r="E15" s="44"/>
      <c r="F15" s="44"/>
      <c r="G15" s="45"/>
      <c r="I15" s="191">
        <v>2014</v>
      </c>
      <c r="J15" s="192">
        <v>-1E-3</v>
      </c>
      <c r="K15" s="295">
        <f t="shared" si="0"/>
        <v>0.999</v>
      </c>
      <c r="L15" s="296">
        <f>PRODUCT(K15:K$16)</f>
        <v>0.99600299999999997</v>
      </c>
      <c r="M15" s="193">
        <f t="shared" si="1"/>
        <v>0.99600299999999997</v>
      </c>
      <c r="N15" s="193">
        <f>L16</f>
        <v>0.997</v>
      </c>
      <c r="O15" s="186"/>
      <c r="P15" s="186"/>
      <c r="Q15" s="186"/>
      <c r="R15" s="186"/>
    </row>
    <row r="16" spans="1:18" ht="13.5" thickBot="1" x14ac:dyDescent="0.25">
      <c r="A16" s="8">
        <v>2015</v>
      </c>
      <c r="B16" s="46">
        <v>11</v>
      </c>
      <c r="C16" s="47"/>
      <c r="D16" s="47"/>
      <c r="E16" s="47"/>
      <c r="F16" s="47"/>
      <c r="G16" s="48"/>
      <c r="I16" s="194">
        <v>2015</v>
      </c>
      <c r="J16" s="195">
        <v>-3.0000000000000001E-3</v>
      </c>
      <c r="K16" s="297">
        <f t="shared" si="0"/>
        <v>0.997</v>
      </c>
      <c r="L16" s="298">
        <f>PRODUCT(K16:K$16)</f>
        <v>0.997</v>
      </c>
      <c r="M16" s="193">
        <f t="shared" si="1"/>
        <v>0.997</v>
      </c>
      <c r="N16" s="186"/>
      <c r="O16" s="186"/>
      <c r="P16" s="186"/>
      <c r="Q16" s="186"/>
      <c r="R16" s="186"/>
    </row>
    <row r="17" spans="1:18" x14ac:dyDescent="0.2">
      <c r="A17" s="92"/>
      <c r="B17" s="93"/>
      <c r="C17" s="93"/>
      <c r="D17" s="93"/>
      <c r="E17" s="93"/>
      <c r="F17" s="93"/>
      <c r="G17" s="93"/>
      <c r="I17" s="114">
        <v>2016</v>
      </c>
      <c r="J17" s="202">
        <v>-5.0000000000000001E-3</v>
      </c>
      <c r="K17" s="299">
        <f>1+J17</f>
        <v>0.995</v>
      </c>
      <c r="L17" s="300"/>
      <c r="M17" s="193"/>
      <c r="N17" s="186"/>
      <c r="O17" s="186"/>
      <c r="P17" s="186"/>
      <c r="Q17" s="186"/>
      <c r="R17" s="186"/>
    </row>
    <row r="18" spans="1:18" x14ac:dyDescent="0.2">
      <c r="A18" s="92"/>
      <c r="B18" s="93"/>
      <c r="C18" s="93"/>
      <c r="D18" s="93"/>
      <c r="E18" s="93"/>
      <c r="F18" s="93"/>
      <c r="G18" s="93"/>
      <c r="I18" s="115">
        <v>2017</v>
      </c>
      <c r="J18" s="203">
        <v>1.4E-2</v>
      </c>
      <c r="K18" s="267">
        <f>1+J18</f>
        <v>1.014</v>
      </c>
      <c r="L18" s="301"/>
      <c r="M18" s="186"/>
      <c r="N18" s="186"/>
      <c r="O18" s="186"/>
      <c r="P18" s="186"/>
      <c r="Q18" s="186"/>
      <c r="R18" s="186"/>
    </row>
    <row r="19" spans="1:18" x14ac:dyDescent="0.2">
      <c r="A19" s="92"/>
      <c r="B19" s="93"/>
      <c r="C19" s="93"/>
      <c r="D19" s="93"/>
      <c r="E19" s="93"/>
      <c r="F19" s="93"/>
      <c r="G19" s="93"/>
      <c r="I19" s="115">
        <v>2018</v>
      </c>
      <c r="J19" s="203">
        <v>2.3E-2</v>
      </c>
      <c r="K19" s="267">
        <f>1+J19</f>
        <v>1.0229999999999999</v>
      </c>
      <c r="L19" s="301"/>
      <c r="M19" s="186"/>
      <c r="N19" s="186"/>
      <c r="O19" s="186"/>
      <c r="P19" s="186"/>
      <c r="Q19" s="186"/>
      <c r="R19" s="186"/>
    </row>
    <row r="20" spans="1:18" x14ac:dyDescent="0.2">
      <c r="A20" s="92"/>
      <c r="B20" s="93"/>
      <c r="C20" s="93"/>
      <c r="D20" s="93"/>
      <c r="E20" s="93"/>
      <c r="F20" s="93"/>
      <c r="G20" s="93"/>
      <c r="I20" s="115">
        <v>2019</v>
      </c>
      <c r="J20" s="203">
        <v>2.1999999999999999E-2</v>
      </c>
      <c r="K20" s="267">
        <f>1+J20</f>
        <v>1.022</v>
      </c>
      <c r="L20" s="301"/>
      <c r="M20" s="186"/>
      <c r="N20" s="186"/>
      <c r="O20" s="186"/>
      <c r="P20" s="186"/>
      <c r="Q20" s="186"/>
      <c r="R20" s="186"/>
    </row>
    <row r="21" spans="1:18" ht="13.5" thickBot="1" x14ac:dyDescent="0.25">
      <c r="A21" s="92"/>
      <c r="B21" s="93"/>
      <c r="C21" s="93"/>
      <c r="D21" s="93"/>
      <c r="E21" s="93"/>
      <c r="F21" s="93"/>
      <c r="G21" s="93"/>
      <c r="I21" s="116">
        <v>2020</v>
      </c>
      <c r="J21" s="204">
        <v>2.1999999999999999E-2</v>
      </c>
      <c r="K21" s="269">
        <f>1+J21</f>
        <v>1.022</v>
      </c>
      <c r="L21" s="301"/>
      <c r="M21" s="186"/>
      <c r="N21" s="186"/>
      <c r="O21" s="186"/>
      <c r="P21" s="186"/>
      <c r="Q21" s="186"/>
      <c r="R21" s="186"/>
    </row>
    <row r="22" spans="1:18" x14ac:dyDescent="0.2">
      <c r="A22" s="92"/>
      <c r="B22" s="93"/>
      <c r="C22" s="93"/>
      <c r="D22" s="93"/>
      <c r="E22" s="93"/>
      <c r="F22" s="93"/>
      <c r="G22" s="93"/>
    </row>
    <row r="23" spans="1:18" x14ac:dyDescent="0.2">
      <c r="A23" s="92"/>
      <c r="B23" s="93"/>
      <c r="C23" s="93"/>
      <c r="D23" s="93"/>
      <c r="E23" s="93"/>
      <c r="F23" s="93"/>
      <c r="G23" s="93"/>
    </row>
    <row r="24" spans="1:18" ht="13.5" thickBot="1" x14ac:dyDescent="0.25">
      <c r="A24" s="368" t="s">
        <v>4</v>
      </c>
      <c r="B24" s="368"/>
      <c r="C24" s="368"/>
      <c r="D24" s="368"/>
      <c r="E24" s="368"/>
      <c r="F24" s="368"/>
      <c r="G24" s="368"/>
    </row>
    <row r="25" spans="1:18" ht="13.5" thickBot="1" x14ac:dyDescent="0.25">
      <c r="A25" s="161"/>
      <c r="B25" s="369" t="s">
        <v>2</v>
      </c>
      <c r="C25" s="369"/>
      <c r="D25" s="369"/>
      <c r="E25" s="369"/>
      <c r="F25" s="369"/>
      <c r="G25" s="370"/>
    </row>
    <row r="26" spans="1:18" ht="13.5" thickBot="1" x14ac:dyDescent="0.25">
      <c r="A26" s="162" t="s">
        <v>1</v>
      </c>
      <c r="B26" s="163">
        <v>0</v>
      </c>
      <c r="C26" s="164">
        <v>1</v>
      </c>
      <c r="D26" s="164">
        <v>2</v>
      </c>
      <c r="E26" s="164">
        <v>3</v>
      </c>
      <c r="F26" s="164">
        <v>4</v>
      </c>
      <c r="G26" s="165">
        <v>5</v>
      </c>
    </row>
    <row r="27" spans="1:18" x14ac:dyDescent="0.2">
      <c r="A27" s="166">
        <v>2010</v>
      </c>
      <c r="B27" s="167">
        <f>SUM($B11:B11)</f>
        <v>9</v>
      </c>
      <c r="C27" s="168">
        <f>SUM($B11:C11)</f>
        <v>21</v>
      </c>
      <c r="D27" s="168">
        <f>SUM($B11:D11)</f>
        <v>31</v>
      </c>
      <c r="E27" s="168">
        <f>SUM($B11:E11)</f>
        <v>42</v>
      </c>
      <c r="F27" s="168">
        <f>SUM($B11:F11)</f>
        <v>50</v>
      </c>
      <c r="G27" s="169">
        <f>SUM($B11:G11)</f>
        <v>50</v>
      </c>
    </row>
    <row r="28" spans="1:18" x14ac:dyDescent="0.2">
      <c r="A28" s="166">
        <v>2011</v>
      </c>
      <c r="B28" s="170">
        <f>SUM($B12:B12)</f>
        <v>13</v>
      </c>
      <c r="C28" s="171">
        <f>SUM($B12:C12)</f>
        <v>28</v>
      </c>
      <c r="D28" s="171">
        <f>SUM($B12:D12)</f>
        <v>36</v>
      </c>
      <c r="E28" s="171">
        <f>SUM($B12:E12)</f>
        <v>46</v>
      </c>
      <c r="F28" s="172">
        <f>SUM($B12:F12)</f>
        <v>60</v>
      </c>
      <c r="G28" s="173"/>
    </row>
    <row r="29" spans="1:18" x14ac:dyDescent="0.2">
      <c r="A29" s="166">
        <v>2012</v>
      </c>
      <c r="B29" s="170">
        <f>SUM($B13:B13)</f>
        <v>14</v>
      </c>
      <c r="C29" s="171">
        <f>SUM($B13:C13)</f>
        <v>29</v>
      </c>
      <c r="D29" s="171">
        <f>SUM($B13:D13)</f>
        <v>44</v>
      </c>
      <c r="E29" s="172">
        <f>SUM($B13:E13)</f>
        <v>60</v>
      </c>
      <c r="F29" s="171"/>
      <c r="G29" s="173"/>
    </row>
    <row r="30" spans="1:18" x14ac:dyDescent="0.2">
      <c r="A30" s="166">
        <v>2013</v>
      </c>
      <c r="B30" s="170">
        <f>SUM($B14:B14)</f>
        <v>16</v>
      </c>
      <c r="C30" s="171">
        <f>SUM($B14:C14)</f>
        <v>24</v>
      </c>
      <c r="D30" s="172">
        <f>SUM($B14:D14)</f>
        <v>42</v>
      </c>
      <c r="E30" s="171"/>
      <c r="F30" s="171"/>
      <c r="G30" s="173"/>
    </row>
    <row r="31" spans="1:18" x14ac:dyDescent="0.2">
      <c r="A31" s="166">
        <v>2014</v>
      </c>
      <c r="B31" s="170">
        <f>SUM($B15:B15)</f>
        <v>12</v>
      </c>
      <c r="C31" s="172">
        <f>SUM($B15:C15)</f>
        <v>26</v>
      </c>
      <c r="D31" s="171"/>
      <c r="E31" s="171"/>
      <c r="F31" s="171"/>
      <c r="G31" s="173"/>
    </row>
    <row r="32" spans="1:18" ht="13.5" thickBot="1" x14ac:dyDescent="0.25">
      <c r="A32" s="174">
        <v>2015</v>
      </c>
      <c r="B32" s="175">
        <f>SUM($B16:B16)</f>
        <v>11</v>
      </c>
      <c r="C32" s="176"/>
      <c r="D32" s="176"/>
      <c r="E32" s="176"/>
      <c r="F32" s="176"/>
      <c r="G32" s="177"/>
    </row>
    <row r="33" spans="1:7" x14ac:dyDescent="0.2">
      <c r="A33" s="92"/>
      <c r="B33" s="157"/>
      <c r="C33" s="93"/>
      <c r="D33" s="93"/>
      <c r="E33" s="93"/>
      <c r="F33" s="93"/>
      <c r="G33" s="93"/>
    </row>
    <row r="34" spans="1:7" x14ac:dyDescent="0.2">
      <c r="A34" s="92"/>
      <c r="B34" s="157"/>
      <c r="C34" s="93"/>
      <c r="D34" s="93"/>
      <c r="E34" s="93"/>
      <c r="F34" s="93"/>
      <c r="G34" s="93"/>
    </row>
    <row r="35" spans="1:7" ht="30.75" customHeight="1" thickBot="1" x14ac:dyDescent="0.25">
      <c r="A35" s="361" t="s">
        <v>62</v>
      </c>
      <c r="B35" s="361"/>
      <c r="C35" s="361"/>
      <c r="D35" s="361"/>
      <c r="E35" s="197"/>
      <c r="F35" s="93"/>
      <c r="G35" s="93"/>
    </row>
    <row r="36" spans="1:7" ht="56.25" customHeight="1" x14ac:dyDescent="0.3">
      <c r="A36" s="198" t="s">
        <v>29</v>
      </c>
      <c r="B36" s="201" t="s">
        <v>74</v>
      </c>
      <c r="C36" s="199" t="s">
        <v>59</v>
      </c>
      <c r="D36" s="190" t="s">
        <v>60</v>
      </c>
      <c r="E36" s="196"/>
      <c r="F36" s="93"/>
      <c r="G36" s="93"/>
    </row>
    <row r="37" spans="1:7" x14ac:dyDescent="0.2">
      <c r="A37" s="15">
        <v>2010</v>
      </c>
      <c r="B37" s="302">
        <f>23455</f>
        <v>23455</v>
      </c>
      <c r="C37" s="303">
        <f>B27/B37</f>
        <v>3.8371349392453635E-4</v>
      </c>
      <c r="D37" s="304">
        <f>C37*1000000</f>
        <v>383.71349392453635</v>
      </c>
      <c r="E37" s="98"/>
      <c r="F37" s="93"/>
      <c r="G37" s="93"/>
    </row>
    <row r="38" spans="1:7" x14ac:dyDescent="0.2">
      <c r="A38" s="7">
        <v>2011</v>
      </c>
      <c r="B38" s="305">
        <f>31071</f>
        <v>31071</v>
      </c>
      <c r="C38" s="306">
        <f t="shared" ref="C38:C42" si="2">B28/B38</f>
        <v>4.183965755849506E-4</v>
      </c>
      <c r="D38" s="307">
        <f t="shared" ref="D38:D42" si="3">C38*1000000</f>
        <v>418.3965755849506</v>
      </c>
      <c r="E38" s="98"/>
    </row>
    <row r="39" spans="1:7" x14ac:dyDescent="0.2">
      <c r="A39" s="7">
        <v>2012</v>
      </c>
      <c r="B39" s="305">
        <f>32711</f>
        <v>32711</v>
      </c>
      <c r="C39" s="306">
        <f t="shared" si="2"/>
        <v>4.2799058420714745E-4</v>
      </c>
      <c r="D39" s="307">
        <f t="shared" si="3"/>
        <v>427.99058420714744</v>
      </c>
      <c r="E39" s="98"/>
    </row>
    <row r="40" spans="1:7" x14ac:dyDescent="0.2">
      <c r="A40" s="7">
        <v>2013</v>
      </c>
      <c r="B40" s="305">
        <f>34287</f>
        <v>34287</v>
      </c>
      <c r="C40" s="306">
        <f t="shared" si="2"/>
        <v>4.6664916732289206E-4</v>
      </c>
      <c r="D40" s="307">
        <f t="shared" si="3"/>
        <v>466.64916732289208</v>
      </c>
      <c r="E40" s="98"/>
    </row>
    <row r="41" spans="1:7" x14ac:dyDescent="0.2">
      <c r="A41" s="7">
        <v>2014</v>
      </c>
      <c r="B41" s="305">
        <f>27027</f>
        <v>27027</v>
      </c>
      <c r="C41" s="306">
        <f t="shared" si="2"/>
        <v>4.44000444000444E-4</v>
      </c>
      <c r="D41" s="307">
        <f t="shared" si="3"/>
        <v>444.00044400044402</v>
      </c>
      <c r="E41" s="98"/>
    </row>
    <row r="42" spans="1:7" ht="13.5" thickBot="1" x14ac:dyDescent="0.25">
      <c r="A42" s="8">
        <v>2015</v>
      </c>
      <c r="B42" s="308">
        <f>25846</f>
        <v>25846</v>
      </c>
      <c r="C42" s="309">
        <f t="shared" si="2"/>
        <v>4.2559777141530603E-4</v>
      </c>
      <c r="D42" s="310">
        <f t="shared" si="3"/>
        <v>425.59777141530606</v>
      </c>
      <c r="E42" s="98"/>
    </row>
    <row r="43" spans="1:7" x14ac:dyDescent="0.2">
      <c r="A43" s="92"/>
      <c r="B43" s="79"/>
    </row>
    <row r="44" spans="1:7" x14ac:dyDescent="0.2">
      <c r="A44" s="92"/>
      <c r="B44" s="79"/>
    </row>
    <row r="45" spans="1:7" ht="27" customHeight="1" thickBot="1" x14ac:dyDescent="0.25">
      <c r="A45" s="341" t="s">
        <v>61</v>
      </c>
      <c r="B45" s="341"/>
      <c r="C45" s="341"/>
      <c r="D45" s="341"/>
      <c r="E45" s="341"/>
      <c r="F45" s="341"/>
      <c r="G45" s="341"/>
    </row>
    <row r="46" spans="1:7" ht="13.5" thickBot="1" x14ac:dyDescent="0.25">
      <c r="A46" s="36"/>
      <c r="B46" s="335" t="s">
        <v>2</v>
      </c>
      <c r="C46" s="335"/>
      <c r="D46" s="335"/>
      <c r="E46" s="335"/>
      <c r="F46" s="335"/>
      <c r="G46" s="336"/>
    </row>
    <row r="47" spans="1:7" ht="13.5" thickBot="1" x14ac:dyDescent="0.25">
      <c r="A47" s="27" t="s">
        <v>1</v>
      </c>
      <c r="B47" s="6">
        <v>0</v>
      </c>
      <c r="C47" s="4">
        <v>1</v>
      </c>
      <c r="D47" s="4">
        <v>2</v>
      </c>
      <c r="E47" s="4">
        <v>3</v>
      </c>
      <c r="F47" s="4">
        <v>4</v>
      </c>
      <c r="G47" s="5">
        <v>5</v>
      </c>
    </row>
    <row r="48" spans="1:7" x14ac:dyDescent="0.2">
      <c r="A48" s="7">
        <v>2010</v>
      </c>
      <c r="B48" s="311">
        <f t="shared" ref="B48:B53" si="4">B11/$B37</f>
        <v>3.8371349392453635E-4</v>
      </c>
      <c r="C48" s="311">
        <f>C11/$B37</f>
        <v>5.1161799189938177E-4</v>
      </c>
      <c r="D48" s="311">
        <f t="shared" ref="D48:G48" si="5">D11/$B37</f>
        <v>4.2634832658281814E-4</v>
      </c>
      <c r="E48" s="311">
        <f t="shared" si="5"/>
        <v>4.6898315924109998E-4</v>
      </c>
      <c r="F48" s="311">
        <f t="shared" si="5"/>
        <v>3.4107866126625451E-4</v>
      </c>
      <c r="G48" s="312">
        <f t="shared" si="5"/>
        <v>0</v>
      </c>
    </row>
    <row r="49" spans="1:7" x14ac:dyDescent="0.2">
      <c r="A49" s="7">
        <v>2011</v>
      </c>
      <c r="B49" s="311">
        <f t="shared" si="4"/>
        <v>4.183965755849506E-4</v>
      </c>
      <c r="C49" s="311">
        <f>C12/$B38</f>
        <v>4.8276527952109682E-4</v>
      </c>
      <c r="D49" s="311">
        <f>D12/$B38</f>
        <v>2.5747481574458499E-4</v>
      </c>
      <c r="E49" s="311">
        <f>E12/$B38</f>
        <v>3.2184351968073122E-4</v>
      </c>
      <c r="F49" s="311">
        <f>F12/$B38</f>
        <v>4.5058092755302371E-4</v>
      </c>
      <c r="G49" s="313"/>
    </row>
    <row r="50" spans="1:7" x14ac:dyDescent="0.2">
      <c r="A50" s="7">
        <v>2012</v>
      </c>
      <c r="B50" s="311">
        <f t="shared" si="4"/>
        <v>4.2799058420714745E-4</v>
      </c>
      <c r="C50" s="311">
        <f>C13/$B39</f>
        <v>4.5856134022194368E-4</v>
      </c>
      <c r="D50" s="311">
        <f>D13/$B39</f>
        <v>4.5856134022194368E-4</v>
      </c>
      <c r="E50" s="311">
        <f>E13/$B39</f>
        <v>4.8913209623673991E-4</v>
      </c>
      <c r="F50" s="314"/>
      <c r="G50" s="313"/>
    </row>
    <row r="51" spans="1:7" x14ac:dyDescent="0.2">
      <c r="A51" s="7">
        <v>2013</v>
      </c>
      <c r="B51" s="311">
        <f t="shared" si="4"/>
        <v>4.6664916732289206E-4</v>
      </c>
      <c r="C51" s="311">
        <f>C14/$B40</f>
        <v>2.3332458366144603E-4</v>
      </c>
      <c r="D51" s="311">
        <f>D14/$B40</f>
        <v>5.2498031323825356E-4</v>
      </c>
      <c r="E51" s="314"/>
      <c r="F51" s="314"/>
      <c r="G51" s="313"/>
    </row>
    <row r="52" spans="1:7" x14ac:dyDescent="0.2">
      <c r="A52" s="7">
        <v>2014</v>
      </c>
      <c r="B52" s="311">
        <f t="shared" si="4"/>
        <v>4.44000444000444E-4</v>
      </c>
      <c r="C52" s="311">
        <f>C15/$B41</f>
        <v>5.1800051800051804E-4</v>
      </c>
      <c r="D52" s="314"/>
      <c r="E52" s="314"/>
      <c r="F52" s="314"/>
      <c r="G52" s="313"/>
    </row>
    <row r="53" spans="1:7" ht="13.5" thickBot="1" x14ac:dyDescent="0.25">
      <c r="A53" s="8">
        <v>2015</v>
      </c>
      <c r="B53" s="315">
        <f t="shared" si="4"/>
        <v>4.2559777141530603E-4</v>
      </c>
      <c r="C53" s="316"/>
      <c r="D53" s="316"/>
      <c r="E53" s="316"/>
      <c r="F53" s="316"/>
      <c r="G53" s="317"/>
    </row>
    <row r="56" spans="1:7" ht="13.5" customHeight="1" thickBot="1" x14ac:dyDescent="0.25">
      <c r="A56" s="342" t="s">
        <v>72</v>
      </c>
      <c r="B56" s="342"/>
      <c r="C56" s="342"/>
      <c r="D56" s="342"/>
      <c r="E56" s="342"/>
      <c r="F56" s="10"/>
      <c r="G56" s="10"/>
    </row>
    <row r="57" spans="1:7" ht="81.75" customHeight="1" thickBot="1" x14ac:dyDescent="0.25">
      <c r="A57" s="36"/>
      <c r="B57" s="210" t="s">
        <v>67</v>
      </c>
      <c r="C57" s="200" t="s">
        <v>69</v>
      </c>
      <c r="D57" s="200" t="s">
        <v>63</v>
      </c>
      <c r="E57" s="208" t="s">
        <v>65</v>
      </c>
      <c r="F57" s="206"/>
    </row>
    <row r="58" spans="1:7" ht="20.25" thickBot="1" x14ac:dyDescent="0.4">
      <c r="A58" s="209" t="s">
        <v>1</v>
      </c>
      <c r="B58" s="116" t="s">
        <v>68</v>
      </c>
      <c r="C58" s="211" t="s">
        <v>70</v>
      </c>
      <c r="D58" s="212" t="s">
        <v>64</v>
      </c>
      <c r="E58" s="213" t="s">
        <v>66</v>
      </c>
      <c r="F58" s="1"/>
    </row>
    <row r="59" spans="1:7" x14ac:dyDescent="0.2">
      <c r="A59" s="7">
        <v>2010</v>
      </c>
      <c r="B59" s="40">
        <v>0</v>
      </c>
      <c r="C59" s="318">
        <f>B48</f>
        <v>3.8371349392453635E-4</v>
      </c>
      <c r="D59" s="318">
        <f>C59/(1-E64-E63-E62-E61-E60)</f>
        <v>1.8841401445189622E-3</v>
      </c>
      <c r="E59" s="319">
        <f>(B48+B49+B50+B51+B52+B53)/(D64+D63+D62+D61+D60+D59)</f>
        <v>0.20365443358381485</v>
      </c>
      <c r="F59" s="207"/>
    </row>
    <row r="60" spans="1:7" x14ac:dyDescent="0.2">
      <c r="A60" s="7">
        <v>2011</v>
      </c>
      <c r="B60" s="43">
        <v>1</v>
      </c>
      <c r="C60" s="320">
        <f>B49+C48</f>
        <v>9.3001456748433237E-4</v>
      </c>
      <c r="D60" s="320">
        <f>C60/(1-E64-E63-E62-E61)</f>
        <v>2.2720545289525653E-3</v>
      </c>
      <c r="E60" s="321">
        <f>(C48+C49+C50+C51+C52)/(D64+D63+D62+D61+D60)</f>
        <v>0.20567314004315976</v>
      </c>
      <c r="F60" s="207"/>
    </row>
    <row r="61" spans="1:7" x14ac:dyDescent="0.2">
      <c r="A61" s="7">
        <v>2012</v>
      </c>
      <c r="B61" s="43">
        <v>2</v>
      </c>
      <c r="C61" s="320">
        <f>B50+C49+D48</f>
        <v>1.3371041903110625E-3</v>
      </c>
      <c r="D61" s="320">
        <f>C61/(1-E64-E63-E62)</f>
        <v>2.2036827902191659E-3</v>
      </c>
      <c r="E61" s="321">
        <f>(D48+D49+D50+D51)/(D64+D63+D62+D61)</f>
        <v>0.1974313465976924</v>
      </c>
      <c r="F61" s="207"/>
    </row>
    <row r="62" spans="1:7" x14ac:dyDescent="0.2">
      <c r="A62" s="7">
        <v>2013</v>
      </c>
      <c r="B62" s="43">
        <v>3</v>
      </c>
      <c r="C62" s="320">
        <f>B51+C50+D49+E48</f>
        <v>1.6516684825305205E-3</v>
      </c>
      <c r="D62" s="320">
        <f>C62/(1-E64-E63)</f>
        <v>2.0345061161088245E-3</v>
      </c>
      <c r="E62" s="321">
        <f>(E48+E49+E50)/(D64+D63+D62)</f>
        <v>0.20506881007947417</v>
      </c>
      <c r="F62" s="207"/>
    </row>
    <row r="63" spans="1:7" x14ac:dyDescent="0.2">
      <c r="A63" s="7">
        <v>2014</v>
      </c>
      <c r="B63" s="43">
        <v>4</v>
      </c>
      <c r="C63" s="320">
        <f>B52++C51+D50+E49+F48</f>
        <v>1.7988085488308194E-3</v>
      </c>
      <c r="D63" s="320">
        <f>C63/(1-E64)</f>
        <v>1.7988085488308194E-3</v>
      </c>
      <c r="E63" s="321">
        <f>(F49+F48)/(D63+D64)</f>
        <v>0.18817226969585879</v>
      </c>
      <c r="F63" s="207"/>
    </row>
    <row r="64" spans="1:7" ht="13.5" thickBot="1" x14ac:dyDescent="0.25">
      <c r="A64" s="8">
        <v>2015</v>
      </c>
      <c r="B64" s="46">
        <v>5</v>
      </c>
      <c r="C64" s="322">
        <f>B53+C52+D51+E50+F49+G48</f>
        <v>2.4082916264438411E-3</v>
      </c>
      <c r="D64" s="322">
        <f>C64</f>
        <v>2.4082916264438411E-3</v>
      </c>
      <c r="E64" s="323">
        <f>G48/D64</f>
        <v>0</v>
      </c>
      <c r="F64" s="207"/>
    </row>
    <row r="65" spans="1:7" x14ac:dyDescent="0.2">
      <c r="A65" s="92"/>
      <c r="B65" s="93"/>
      <c r="C65" s="205"/>
      <c r="D65" s="205"/>
      <c r="E65" s="205"/>
      <c r="F65" s="207"/>
    </row>
    <row r="66" spans="1:7" x14ac:dyDescent="0.2">
      <c r="C66" s="79"/>
      <c r="D66" s="79"/>
      <c r="E66" s="159"/>
    </row>
    <row r="67" spans="1:7" ht="41.25" customHeight="1" thickBot="1" x14ac:dyDescent="0.25">
      <c r="B67" s="196" t="s">
        <v>75</v>
      </c>
      <c r="C67" s="196" t="s">
        <v>71</v>
      </c>
    </row>
    <row r="68" spans="1:7" ht="19.5" x14ac:dyDescent="0.35">
      <c r="A68" s="214" t="s">
        <v>29</v>
      </c>
      <c r="B68" s="217" t="s">
        <v>83</v>
      </c>
      <c r="C68" s="215" t="s">
        <v>84</v>
      </c>
    </row>
    <row r="69" spans="1:7" ht="15" x14ac:dyDescent="0.2">
      <c r="A69" s="115">
        <v>2016</v>
      </c>
      <c r="B69" s="40">
        <v>6</v>
      </c>
      <c r="C69" s="321">
        <f>D64*K17</f>
        <v>2.396250168311622E-3</v>
      </c>
      <c r="F69" s="158"/>
    </row>
    <row r="70" spans="1:7" x14ac:dyDescent="0.2">
      <c r="A70" s="115">
        <v>2017</v>
      </c>
      <c r="B70" s="43">
        <v>7</v>
      </c>
      <c r="C70" s="321">
        <f>C69*K18</f>
        <v>2.4297976706679847E-3</v>
      </c>
    </row>
    <row r="71" spans="1:7" x14ac:dyDescent="0.2">
      <c r="A71" s="115">
        <v>2018</v>
      </c>
      <c r="B71" s="40">
        <v>8</v>
      </c>
      <c r="C71" s="321">
        <f>C70*K19</f>
        <v>2.4856830170933483E-3</v>
      </c>
    </row>
    <row r="72" spans="1:7" x14ac:dyDescent="0.2">
      <c r="A72" s="115">
        <v>2019</v>
      </c>
      <c r="B72" s="43">
        <v>9</v>
      </c>
      <c r="C72" s="321">
        <f>C71*K20</f>
        <v>2.540368043469402E-3</v>
      </c>
    </row>
    <row r="73" spans="1:7" ht="13.5" thickBot="1" x14ac:dyDescent="0.25">
      <c r="A73" s="116">
        <v>2020</v>
      </c>
      <c r="B73" s="216">
        <v>10</v>
      </c>
      <c r="C73" s="323">
        <f>C72*K21</f>
        <v>2.5962561404257287E-3</v>
      </c>
    </row>
    <row r="74" spans="1:7" x14ac:dyDescent="0.2">
      <c r="A74" s="92"/>
      <c r="B74" s="93"/>
      <c r="E74" s="160"/>
    </row>
    <row r="76" spans="1:7" ht="27" customHeight="1" thickBot="1" x14ac:dyDescent="0.25">
      <c r="A76" s="341" t="s">
        <v>73</v>
      </c>
      <c r="B76" s="341"/>
      <c r="C76" s="341"/>
      <c r="D76" s="341"/>
      <c r="E76" s="341"/>
      <c r="F76" s="341"/>
      <c r="G76" s="341"/>
    </row>
    <row r="77" spans="1:7" ht="13.5" thickBot="1" x14ac:dyDescent="0.25">
      <c r="A77" s="36"/>
      <c r="B77" s="335" t="s">
        <v>76</v>
      </c>
      <c r="C77" s="335"/>
      <c r="D77" s="335"/>
      <c r="E77" s="335"/>
      <c r="F77" s="335"/>
      <c r="G77" s="336"/>
    </row>
    <row r="78" spans="1:7" ht="13.5" thickBot="1" x14ac:dyDescent="0.25">
      <c r="A78" s="27" t="s">
        <v>1</v>
      </c>
      <c r="B78" s="6">
        <v>0</v>
      </c>
      <c r="C78" s="4">
        <v>1</v>
      </c>
      <c r="D78" s="4">
        <v>2</v>
      </c>
      <c r="E78" s="4">
        <v>3</v>
      </c>
      <c r="F78" s="4">
        <v>4</v>
      </c>
      <c r="G78" s="5">
        <v>5</v>
      </c>
    </row>
    <row r="79" spans="1:7" x14ac:dyDescent="0.2">
      <c r="A79" s="7" t="s">
        <v>77</v>
      </c>
      <c r="B79" s="218">
        <v>9</v>
      </c>
      <c r="C79" s="219">
        <v>12</v>
      </c>
      <c r="D79" s="219">
        <v>10</v>
      </c>
      <c r="E79" s="219">
        <v>11</v>
      </c>
      <c r="F79" s="219">
        <v>8</v>
      </c>
      <c r="G79" s="220">
        <v>0</v>
      </c>
    </row>
    <row r="80" spans="1:7" x14ac:dyDescent="0.2">
      <c r="A80" s="7" t="s">
        <v>78</v>
      </c>
      <c r="B80" s="221">
        <v>13</v>
      </c>
      <c r="C80" s="222">
        <v>15</v>
      </c>
      <c r="D80" s="222">
        <v>8</v>
      </c>
      <c r="E80" s="222">
        <v>10</v>
      </c>
      <c r="F80" s="222">
        <v>14</v>
      </c>
      <c r="G80" s="226">
        <f>$B38*$E64*$C69</f>
        <v>0</v>
      </c>
    </row>
    <row r="81" spans="1:7" x14ac:dyDescent="0.2">
      <c r="A81" s="7" t="s">
        <v>79</v>
      </c>
      <c r="B81" s="221">
        <v>14</v>
      </c>
      <c r="C81" s="222">
        <v>15</v>
      </c>
      <c r="D81" s="222">
        <v>15</v>
      </c>
      <c r="E81" s="222">
        <v>16</v>
      </c>
      <c r="F81" s="225">
        <f>$B39*$E63*$C69</f>
        <v>14.74964612298244</v>
      </c>
      <c r="G81" s="225">
        <f>$B39*$E64*$C70</f>
        <v>0</v>
      </c>
    </row>
    <row r="82" spans="1:7" x14ac:dyDescent="0.2">
      <c r="A82" s="7" t="s">
        <v>80</v>
      </c>
      <c r="B82" s="221">
        <v>16</v>
      </c>
      <c r="C82" s="222">
        <v>8</v>
      </c>
      <c r="D82" s="222">
        <v>18</v>
      </c>
      <c r="E82" s="225">
        <f>$B40*$E62*$C69</f>
        <v>16.848500503707569</v>
      </c>
      <c r="F82" s="225">
        <f>$B40*$E63*$C70</f>
        <v>15.676720743828092</v>
      </c>
      <c r="G82" s="225">
        <f>$B40*$E64*$C71</f>
        <v>0</v>
      </c>
    </row>
    <row r="83" spans="1:7" x14ac:dyDescent="0.2">
      <c r="A83" s="7" t="s">
        <v>81</v>
      </c>
      <c r="B83" s="221">
        <v>12</v>
      </c>
      <c r="C83" s="222">
        <v>14</v>
      </c>
      <c r="D83" s="225">
        <f>$B41*$E61*$C69</f>
        <v>12.786335795130082</v>
      </c>
      <c r="E83" s="225">
        <f>$B41*$E62*$C70</f>
        <v>13.466897804920125</v>
      </c>
      <c r="F83" s="225">
        <f>$B41*$E63*$C71</f>
        <v>12.641517495521363</v>
      </c>
      <c r="G83" s="225">
        <f>$B41*$E64*$C72</f>
        <v>0</v>
      </c>
    </row>
    <row r="84" spans="1:7" ht="15.75" customHeight="1" thickBot="1" x14ac:dyDescent="0.25">
      <c r="A84" s="7" t="s">
        <v>82</v>
      </c>
      <c r="B84" s="223">
        <v>11</v>
      </c>
      <c r="C84" s="224">
        <f>$B42*$E60*$C69</f>
        <v>12.738053685933014</v>
      </c>
      <c r="D84" s="224">
        <f>$B42*$E61*$C70</f>
        <v>12.398797271261524</v>
      </c>
      <c r="E84" s="224">
        <f>$B42*$E62*$C71</f>
        <v>13.174638169285631</v>
      </c>
      <c r="F84" s="224">
        <f>$B42*$E63*$C72</f>
        <v>12.35508120529132</v>
      </c>
      <c r="G84" s="224">
        <f>$B42*$E64*$C73</f>
        <v>0</v>
      </c>
    </row>
    <row r="87" spans="1:7" ht="15.75" x14ac:dyDescent="0.25">
      <c r="G87" s="227">
        <f>SUM(G80,F81:G81,E82:G82,D83:G83,C84:G84)</f>
        <v>136.83618879786115</v>
      </c>
    </row>
    <row r="94" spans="1:7" ht="13.5" thickBot="1" x14ac:dyDescent="0.25">
      <c r="A94" s="341" t="s">
        <v>73</v>
      </c>
      <c r="B94" s="341"/>
      <c r="C94" s="341"/>
      <c r="D94" s="341"/>
      <c r="E94" s="341"/>
      <c r="F94" s="341"/>
      <c r="G94" s="341"/>
    </row>
    <row r="95" spans="1:7" ht="13.5" thickBot="1" x14ac:dyDescent="0.25">
      <c r="A95" s="36"/>
      <c r="B95" s="335" t="s">
        <v>76</v>
      </c>
      <c r="C95" s="335"/>
      <c r="D95" s="335"/>
      <c r="E95" s="335"/>
      <c r="F95" s="335"/>
      <c r="G95" s="336"/>
    </row>
    <row r="96" spans="1:7" ht="13.5" thickBot="1" x14ac:dyDescent="0.25">
      <c r="A96" s="27" t="s">
        <v>1</v>
      </c>
      <c r="B96" s="6">
        <v>0</v>
      </c>
      <c r="C96" s="4">
        <v>1</v>
      </c>
      <c r="D96" s="4">
        <v>2</v>
      </c>
      <c r="E96" s="4">
        <v>3</v>
      </c>
      <c r="F96" s="4">
        <v>4</v>
      </c>
      <c r="G96" s="5">
        <v>5</v>
      </c>
    </row>
    <row r="97" spans="1:7" x14ac:dyDescent="0.2">
      <c r="A97" s="7" t="s">
        <v>77</v>
      </c>
      <c r="B97" s="218">
        <v>9</v>
      </c>
      <c r="C97" s="219">
        <v>12</v>
      </c>
      <c r="D97" s="219">
        <v>10</v>
      </c>
      <c r="E97" s="219">
        <v>11</v>
      </c>
      <c r="F97" s="219">
        <v>8</v>
      </c>
      <c r="G97" s="220">
        <v>0</v>
      </c>
    </row>
    <row r="98" spans="1:7" x14ac:dyDescent="0.2">
      <c r="A98" s="7" t="s">
        <v>78</v>
      </c>
      <c r="B98" s="221">
        <v>13</v>
      </c>
      <c r="C98" s="222">
        <v>15</v>
      </c>
      <c r="D98" s="222">
        <v>8</v>
      </c>
      <c r="E98" s="222">
        <v>10</v>
      </c>
      <c r="F98" s="222">
        <v>14</v>
      </c>
      <c r="G98" s="228">
        <f>G80</f>
        <v>0</v>
      </c>
    </row>
    <row r="99" spans="1:7" x14ac:dyDescent="0.2">
      <c r="A99" s="7" t="s">
        <v>79</v>
      </c>
      <c r="B99" s="221">
        <v>14</v>
      </c>
      <c r="C99" s="222">
        <v>15</v>
      </c>
      <c r="D99" s="222">
        <v>15</v>
      </c>
      <c r="E99" s="222">
        <v>16</v>
      </c>
      <c r="F99" s="229">
        <f>F81</f>
        <v>14.74964612298244</v>
      </c>
      <c r="G99" s="230">
        <f>G81</f>
        <v>0</v>
      </c>
    </row>
    <row r="100" spans="1:7" x14ac:dyDescent="0.2">
      <c r="A100" s="7" t="s">
        <v>80</v>
      </c>
      <c r="B100" s="221">
        <v>16</v>
      </c>
      <c r="C100" s="222">
        <v>8</v>
      </c>
      <c r="D100" s="222">
        <v>18</v>
      </c>
      <c r="E100" s="229">
        <f>E82</f>
        <v>16.848500503707569</v>
      </c>
      <c r="F100" s="230">
        <f t="shared" ref="F100:G100" si="6">F82</f>
        <v>15.676720743828092</v>
      </c>
      <c r="G100" s="231">
        <f t="shared" si="6"/>
        <v>0</v>
      </c>
    </row>
    <row r="101" spans="1:7" x14ac:dyDescent="0.2">
      <c r="A101" s="7" t="s">
        <v>81</v>
      </c>
      <c r="B101" s="221">
        <v>12</v>
      </c>
      <c r="C101" s="222">
        <v>14</v>
      </c>
      <c r="D101" s="229">
        <f>D83</f>
        <v>12.786335795130082</v>
      </c>
      <c r="E101" s="230">
        <f t="shared" ref="E101:G101" si="7">E83</f>
        <v>13.466897804920125</v>
      </c>
      <c r="F101" s="231">
        <f t="shared" si="7"/>
        <v>12.641517495521363</v>
      </c>
      <c r="G101" s="232">
        <f t="shared" si="7"/>
        <v>0</v>
      </c>
    </row>
    <row r="102" spans="1:7" ht="15.75" customHeight="1" thickBot="1" x14ac:dyDescent="0.25">
      <c r="A102" s="7" t="s">
        <v>82</v>
      </c>
      <c r="B102" s="223">
        <v>11</v>
      </c>
      <c r="C102" s="233">
        <f>C84</f>
        <v>12.738053685933014</v>
      </c>
      <c r="D102" s="234">
        <f t="shared" ref="D102:G102" si="8">D84</f>
        <v>12.398797271261524</v>
      </c>
      <c r="E102" s="235">
        <f t="shared" si="8"/>
        <v>13.174638169285631</v>
      </c>
      <c r="F102" s="236">
        <f t="shared" si="8"/>
        <v>12.35508120529132</v>
      </c>
      <c r="G102" s="237">
        <f t="shared" si="8"/>
        <v>0</v>
      </c>
    </row>
    <row r="104" spans="1:7" ht="13.5" thickBot="1" x14ac:dyDescent="0.25"/>
    <row r="105" spans="1:7" ht="51" x14ac:dyDescent="0.2">
      <c r="A105" s="114" t="s">
        <v>29</v>
      </c>
      <c r="B105" s="90" t="s">
        <v>41</v>
      </c>
    </row>
    <row r="106" spans="1:7" x14ac:dyDescent="0.2">
      <c r="A106" s="115">
        <v>2016</v>
      </c>
      <c r="B106" s="243">
        <f>C102+D101+E100+F99+G98</f>
        <v>57.122536107753106</v>
      </c>
    </row>
    <row r="107" spans="1:7" x14ac:dyDescent="0.2">
      <c r="A107" s="115">
        <v>2017</v>
      </c>
      <c r="B107" s="244">
        <f>D102+E101+F100+G99</f>
        <v>41.542415820009737</v>
      </c>
    </row>
    <row r="108" spans="1:7" x14ac:dyDescent="0.2">
      <c r="A108" s="115">
        <v>2018</v>
      </c>
      <c r="B108" s="245">
        <f>E102+F101+G100</f>
        <v>25.816155664806992</v>
      </c>
    </row>
    <row r="109" spans="1:7" x14ac:dyDescent="0.2">
      <c r="A109" s="115">
        <v>2019</v>
      </c>
      <c r="B109" s="246">
        <f>F102+G101</f>
        <v>12.35508120529132</v>
      </c>
    </row>
    <row r="110" spans="1:7" ht="13.5" thickBot="1" x14ac:dyDescent="0.25">
      <c r="A110" s="116">
        <v>2020</v>
      </c>
      <c r="B110" s="247">
        <f>G102</f>
        <v>0</v>
      </c>
    </row>
    <row r="112" spans="1:7" ht="13.5" thickBot="1" x14ac:dyDescent="0.25"/>
    <row r="113" spans="1:6" ht="63.75" x14ac:dyDescent="0.2">
      <c r="A113" s="114" t="s">
        <v>29</v>
      </c>
      <c r="B113" s="25" t="s">
        <v>41</v>
      </c>
      <c r="C113" s="25" t="s">
        <v>42</v>
      </c>
      <c r="D113" s="25" t="s">
        <v>43</v>
      </c>
      <c r="E113" s="25" t="s">
        <v>44</v>
      </c>
      <c r="F113" s="90" t="s">
        <v>45</v>
      </c>
    </row>
    <row r="114" spans="1:6" x14ac:dyDescent="0.2">
      <c r="A114" s="115">
        <v>2016</v>
      </c>
      <c r="B114" s="137">
        <f>B106</f>
        <v>57.122536107753106</v>
      </c>
      <c r="C114" s="138">
        <v>8.0000000000000002E-3</v>
      </c>
      <c r="D114" s="3">
        <v>0.5</v>
      </c>
      <c r="E114" s="140">
        <f>(1+$C$114)^(-D114)</f>
        <v>0.99602384111199482</v>
      </c>
      <c r="F114" s="144">
        <f>B114*E114</f>
        <v>56.895407828102869</v>
      </c>
    </row>
    <row r="115" spans="1:6" x14ac:dyDescent="0.2">
      <c r="A115" s="115">
        <v>2017</v>
      </c>
      <c r="B115" s="141">
        <f t="shared" ref="B115:B118" si="9">B107</f>
        <v>41.542415820009737</v>
      </c>
      <c r="C115" s="139"/>
      <c r="D115" s="3">
        <v>1.5</v>
      </c>
      <c r="E115" s="140">
        <f>(1+$C$114)^(-D115)</f>
        <v>0.98811888999205821</v>
      </c>
      <c r="F115" s="145">
        <f t="shared" ref="F115:F118" si="10">B115*E115</f>
        <v>41.048845807656541</v>
      </c>
    </row>
    <row r="116" spans="1:6" x14ac:dyDescent="0.2">
      <c r="A116" s="115">
        <v>2018</v>
      </c>
      <c r="B116" s="142">
        <f t="shared" si="9"/>
        <v>25.816155664806992</v>
      </c>
      <c r="C116" s="139"/>
      <c r="D116" s="3">
        <v>2.5</v>
      </c>
      <c r="E116" s="140">
        <f>(1+$C$114)^(-D116)</f>
        <v>0.98027667657942275</v>
      </c>
      <c r="F116" s="146">
        <f t="shared" si="10"/>
        <v>25.306975277154034</v>
      </c>
    </row>
    <row r="117" spans="1:6" x14ac:dyDescent="0.2">
      <c r="A117" s="115">
        <v>2019</v>
      </c>
      <c r="B117" s="143">
        <f t="shared" si="9"/>
        <v>12.35508120529132</v>
      </c>
      <c r="C117" s="139"/>
      <c r="D117" s="3">
        <v>3.5</v>
      </c>
      <c r="E117" s="140">
        <f>(1+$C$114)^(-D117)</f>
        <v>0.97249670295577662</v>
      </c>
      <c r="F117" s="147">
        <f t="shared" si="10"/>
        <v>12.015275736896692</v>
      </c>
    </row>
    <row r="118" spans="1:6" ht="13.5" thickBot="1" x14ac:dyDescent="0.25">
      <c r="A118" s="116">
        <v>2020</v>
      </c>
      <c r="B118" s="148">
        <f t="shared" si="9"/>
        <v>0</v>
      </c>
      <c r="C118" s="149"/>
      <c r="D118" s="9">
        <v>4.5</v>
      </c>
      <c r="E118" s="150">
        <f>(1+$C$114)^(-D118)</f>
        <v>0.96477847515454029</v>
      </c>
      <c r="F118" s="151">
        <f t="shared" si="10"/>
        <v>0</v>
      </c>
    </row>
    <row r="119" spans="1:6" ht="15.75" x14ac:dyDescent="0.25">
      <c r="F119" s="324">
        <f>SUM(F114:F118)</f>
        <v>135.26650464981014</v>
      </c>
    </row>
  </sheetData>
  <mergeCells count="19">
    <mergeCell ref="A1:G1"/>
    <mergeCell ref="A2:G2"/>
    <mergeCell ref="A3:G3"/>
    <mergeCell ref="A6:G6"/>
    <mergeCell ref="A8:G8"/>
    <mergeCell ref="I8:L8"/>
    <mergeCell ref="I9:L9"/>
    <mergeCell ref="A24:G24"/>
    <mergeCell ref="B25:G25"/>
    <mergeCell ref="B9:G9"/>
    <mergeCell ref="A94:G94"/>
    <mergeCell ref="B95:G95"/>
    <mergeCell ref="M10:R10"/>
    <mergeCell ref="A45:G45"/>
    <mergeCell ref="B46:G46"/>
    <mergeCell ref="A35:D35"/>
    <mergeCell ref="A56:E56"/>
    <mergeCell ref="A76:G76"/>
    <mergeCell ref="B77:G77"/>
  </mergeCells>
  <pageMargins left="0.70866141732283472" right="0.70472440944881887" top="0.74803149606299213" bottom="0.55118110236220474" header="0.31496062992125984" footer="0.31496062992125984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5</vt:i4>
      </vt:variant>
      <vt:variant>
        <vt:lpstr>Pomenované rozsahy</vt:lpstr>
      </vt:variant>
      <vt:variant>
        <vt:i4>5</vt:i4>
      </vt:variant>
    </vt:vector>
  </HeadingPairs>
  <TitlesOfParts>
    <vt:vector size="10" baseType="lpstr">
      <vt:lpstr>Habil-K09-Uloha_9.1-A</vt:lpstr>
      <vt:lpstr>Habil-K09-Uloha_9.1-B</vt:lpstr>
      <vt:lpstr>Habil-K09-Uloha_9.1-C</vt:lpstr>
      <vt:lpstr>Habil-K09-Uloha_9.1-D</vt:lpstr>
      <vt:lpstr>Habil-K09-Uloha_9.1-E</vt:lpstr>
      <vt:lpstr>'Habil-K09-Uloha_9.1-A'!nekumulativny_trojuholnik</vt:lpstr>
      <vt:lpstr>'Habil-K09-Uloha_9.1-B'!nekumulativny_trojuholnik</vt:lpstr>
      <vt:lpstr>'Habil-K09-Uloha_9.1-C'!nekumulativny_trojuholnik</vt:lpstr>
      <vt:lpstr>'Habil-K09-Uloha_9.1-D'!nekumulativny_trojuholnik</vt:lpstr>
      <vt:lpstr>'Habil-K09-Uloha_9.1-E'!nekumulativny_trojuholnik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2022-09-17T17:03:18Z</dcterms:created>
  <dcterms:modified xsi:type="dcterms:W3CDTF">2025-11-16T06:56:47Z</dcterms:modified>
</cp:coreProperties>
</file>