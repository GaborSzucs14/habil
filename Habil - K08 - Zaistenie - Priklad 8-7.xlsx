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3" documentId="13_ncr:1_{F9D80C9E-2297-4A3F-B805-41D08A57F454}" xr6:coauthVersionLast="47" xr6:coauthVersionMax="47" xr10:uidLastSave="{08D135BB-781D-4259-A531-A7478D5838EF}"/>
  <bookViews>
    <workbookView xWindow="-120" yWindow="-120" windowWidth="29040" windowHeight="15720" xr2:uid="{00000000-000D-0000-FFFF-FFFF00000000}"/>
  </bookViews>
  <sheets>
    <sheet name="Habil-K08-Priklad_8.7" sheetId="1" r:id="rId1"/>
    <sheet name="Habil-K08-Priklad_8.7-gra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6" i="1"/>
  <c r="G13" i="1"/>
  <c r="H13" i="1" s="1"/>
  <c r="G29" i="1"/>
  <c r="H29" i="1" s="1"/>
  <c r="G45" i="1"/>
  <c r="H45" i="1" s="1"/>
  <c r="G61" i="1"/>
  <c r="H61" i="1" s="1"/>
  <c r="G82" i="1"/>
  <c r="H82" i="1" s="1"/>
  <c r="B10" i="1"/>
  <c r="F72" i="1"/>
  <c r="G72" i="1" s="1"/>
  <c r="H72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F28" i="1"/>
  <c r="G28" i="1" s="1"/>
  <c r="H28" i="1" s="1"/>
  <c r="F29" i="1"/>
  <c r="F30" i="1"/>
  <c r="G30" i="1" s="1"/>
  <c r="H30" i="1" s="1"/>
  <c r="F31" i="1"/>
  <c r="I32" i="1" s="1"/>
  <c r="F32" i="1"/>
  <c r="G32" i="1" s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F44" i="1"/>
  <c r="G44" i="1" s="1"/>
  <c r="H44" i="1" s="1"/>
  <c r="F45" i="1"/>
  <c r="F46" i="1"/>
  <c r="G46" i="1" s="1"/>
  <c r="H46" i="1" s="1"/>
  <c r="F47" i="1"/>
  <c r="G47" i="1" s="1"/>
  <c r="H47" i="1" s="1"/>
  <c r="F48" i="1"/>
  <c r="G48" i="1" s="1"/>
  <c r="H48" i="1" s="1"/>
  <c r="F49" i="1"/>
  <c r="G49" i="1" s="1"/>
  <c r="H49" i="1" s="1"/>
  <c r="F50" i="1"/>
  <c r="G50" i="1" s="1"/>
  <c r="H50" i="1" s="1"/>
  <c r="F51" i="1"/>
  <c r="G51" i="1" s="1"/>
  <c r="H51" i="1" s="1"/>
  <c r="F52" i="1"/>
  <c r="G52" i="1" s="1"/>
  <c r="H52" i="1" s="1"/>
  <c r="F53" i="1"/>
  <c r="G53" i="1" s="1"/>
  <c r="H53" i="1" s="1"/>
  <c r="F54" i="1"/>
  <c r="G54" i="1" s="1"/>
  <c r="H54" i="1" s="1"/>
  <c r="F55" i="1"/>
  <c r="G55" i="1" s="1"/>
  <c r="H55" i="1" s="1"/>
  <c r="F56" i="1"/>
  <c r="G56" i="1" s="1"/>
  <c r="H56" i="1" s="1"/>
  <c r="F57" i="1"/>
  <c r="G57" i="1" s="1"/>
  <c r="H57" i="1" s="1"/>
  <c r="F58" i="1"/>
  <c r="G58" i="1" s="1"/>
  <c r="H58" i="1" s="1"/>
  <c r="F59" i="1"/>
  <c r="G59" i="1" s="1"/>
  <c r="H59" i="1" s="1"/>
  <c r="F60" i="1"/>
  <c r="G60" i="1" s="1"/>
  <c r="H60" i="1" s="1"/>
  <c r="F61" i="1"/>
  <c r="F62" i="1"/>
  <c r="G62" i="1" s="1"/>
  <c r="H62" i="1" s="1"/>
  <c r="F63" i="1"/>
  <c r="G63" i="1" s="1"/>
  <c r="H63" i="1" s="1"/>
  <c r="F64" i="1"/>
  <c r="G64" i="1" s="1"/>
  <c r="H64" i="1" s="1"/>
  <c r="F65" i="1"/>
  <c r="G65" i="1" s="1"/>
  <c r="H65" i="1" s="1"/>
  <c r="F66" i="1"/>
  <c r="G66" i="1" s="1"/>
  <c r="H66" i="1" s="1"/>
  <c r="F67" i="1"/>
  <c r="G67" i="1" s="1"/>
  <c r="H67" i="1" s="1"/>
  <c r="F68" i="1"/>
  <c r="G68" i="1" s="1"/>
  <c r="H68" i="1" s="1"/>
  <c r="F69" i="1"/>
  <c r="G69" i="1" s="1"/>
  <c r="H69" i="1" s="1"/>
  <c r="F70" i="1"/>
  <c r="G70" i="1" s="1"/>
  <c r="H70" i="1" s="1"/>
  <c r="F71" i="1"/>
  <c r="G71" i="1" s="1"/>
  <c r="H71" i="1" s="1"/>
  <c r="F73" i="1"/>
  <c r="G73" i="1" s="1"/>
  <c r="H73" i="1" s="1"/>
  <c r="F74" i="1"/>
  <c r="G74" i="1" s="1"/>
  <c r="H74" i="1" s="1"/>
  <c r="F75" i="1"/>
  <c r="G75" i="1" s="1"/>
  <c r="H75" i="1" s="1"/>
  <c r="F76" i="1"/>
  <c r="G76" i="1" s="1"/>
  <c r="H76" i="1" s="1"/>
  <c r="F77" i="1"/>
  <c r="G77" i="1" s="1"/>
  <c r="H77" i="1" s="1"/>
  <c r="F78" i="1"/>
  <c r="G78" i="1" s="1"/>
  <c r="H78" i="1" s="1"/>
  <c r="F79" i="1"/>
  <c r="G79" i="1" s="1"/>
  <c r="H79" i="1" s="1"/>
  <c r="F80" i="1"/>
  <c r="G80" i="1" s="1"/>
  <c r="H80" i="1" s="1"/>
  <c r="F81" i="1"/>
  <c r="G81" i="1" s="1"/>
  <c r="H81" i="1" s="1"/>
  <c r="F82" i="1"/>
  <c r="F83" i="1"/>
  <c r="G83" i="1" s="1"/>
  <c r="H83" i="1" s="1"/>
  <c r="F84" i="1"/>
  <c r="G84" i="1" s="1"/>
  <c r="H84" i="1" s="1"/>
  <c r="F85" i="1"/>
  <c r="G85" i="1" s="1"/>
  <c r="H85" i="1" s="1"/>
  <c r="F6" i="1"/>
  <c r="G6" i="1" s="1"/>
  <c r="H6" i="1" s="1"/>
  <c r="G31" i="1" l="1"/>
  <c r="H31" i="1" s="1"/>
</calcChain>
</file>

<file path=xl/sharedStrings.xml><?xml version="1.0" encoding="utf-8"?>
<sst xmlns="http://schemas.openxmlformats.org/spreadsheetml/2006/main" count="91" uniqueCount="90">
  <si>
    <t>Gábor Szűcs, FMFI UK, Gabor.Szucs@fmph.uniba.sk</t>
  </si>
  <si>
    <t>1.</t>
  </si>
  <si>
    <t>2.</t>
  </si>
  <si>
    <t>3.</t>
  </si>
  <si>
    <t>4.</t>
  </si>
  <si>
    <t>por. číslo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</si>
  <si>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</si>
  <si>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</si>
  <si>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</si>
  <si>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</si>
  <si>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</si>
  <si>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</si>
  <si>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</si>
  <si>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</si>
  <si>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</si>
  <si>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</si>
  <si>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</si>
  <si>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</si>
  <si>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</si>
  <si>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</si>
  <si>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</si>
  <si>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</si>
  <si>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</si>
  <si>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</si>
  <si>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</si>
  <si>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</si>
  <si>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</si>
  <si>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</si>
  <si>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</si>
  <si>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</si>
  <si>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</si>
  <si>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</si>
  <si>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</si>
  <si>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</si>
  <si>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</si>
  <si>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</si>
  <si>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</si>
  <si>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</si>
  <si>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</si>
  <si>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</si>
  <si>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</si>
  <si>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</si>
  <si>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</si>
  <si>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</si>
  <si>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</si>
  <si>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</si>
  <si>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</si>
  <si>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</si>
  <si>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</si>
  <si>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</si>
  <si>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</si>
  <si>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</si>
  <si>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</si>
  <si>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</si>
  <si>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</si>
  <si>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</si>
  <si>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</si>
  <si>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</si>
  <si>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</si>
  <si>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</si>
  <si>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</si>
  <si>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</si>
  <si>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</si>
  <si>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</si>
  <si>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</si>
  <si>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</si>
  <si>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</si>
  <si>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</si>
  <si>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</si>
  <si>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</si>
  <si>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</si>
  <si>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</si>
  <si>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</si>
  <si>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</si>
  <si>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</si>
  <si>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</si>
  <si>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</si>
  <si>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</si>
  <si>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</si>
  <si>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</si>
  <si>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</si>
  <si>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</si>
  <si>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výška poistného nároku</t>
  </si>
  <si>
    <t>kumulatívna výška poistných nárokov</t>
  </si>
  <si>
    <r>
      <rPr>
        <i/>
        <sz val="11"/>
        <color theme="1"/>
        <rFont val="Calibri"/>
        <family val="2"/>
        <charset val="238"/>
        <scheme val="minor"/>
      </rPr>
      <t>P</t>
    </r>
    <r>
      <rPr>
        <i/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 xml:space="preserve"> = </t>
    </r>
  </si>
  <si>
    <r>
      <rPr>
        <i/>
        <sz val="11"/>
        <color theme="1"/>
        <rFont val="Calibri"/>
        <family val="2"/>
        <charset val="238"/>
      </rPr>
      <t>γ</t>
    </r>
    <r>
      <rPr>
        <sz val="11"/>
        <color theme="1"/>
        <rFont val="Calibri"/>
        <family val="2"/>
        <charset val="238"/>
      </rPr>
      <t xml:space="preserve"> = </t>
    </r>
  </si>
  <si>
    <r>
      <rPr>
        <i/>
        <sz val="11"/>
        <color theme="1"/>
        <rFont val="Calibri"/>
        <family val="2"/>
        <charset val="238"/>
      </rPr>
      <t>γ</t>
    </r>
    <r>
      <rPr>
        <sz val="11"/>
        <color theme="1"/>
        <rFont val="Calibri"/>
        <family val="2"/>
        <charset val="238"/>
      </rPr>
      <t xml:space="preserve"> × </t>
    </r>
    <r>
      <rPr>
        <i/>
        <sz val="11"/>
        <color theme="1"/>
        <rFont val="Calibri"/>
        <family val="2"/>
        <charset val="238"/>
        <scheme val="minor"/>
      </rPr>
      <t>P</t>
    </r>
    <r>
      <rPr>
        <i/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 xml:space="preserve"> = </t>
    </r>
  </si>
  <si>
    <t>platiteľ poistného plnenia</t>
  </si>
  <si>
    <t>poisťovňa+ZAISŤOVŇA</t>
  </si>
  <si>
    <t>Habil - K08 - Zaistenie - Príklad 8.7 (Stop Loss zaistenie)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</si>
</sst>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9" x14ac:knownFonts="1">
    <font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i/>
      <sz val="10"/>
      <name val="Arial CE"/>
      <charset val="238"/>
    </font>
    <font>
      <sz val="11"/>
      <color theme="1"/>
      <name val="Calibri"/>
      <family val="2"/>
      <charset val="238"/>
    </font>
    <font>
      <i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vertAlign val="subscript"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3" fillId="2" borderId="2" xfId="0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164" fontId="7" fillId="0" borderId="0" xfId="0" applyNumberFormat="1" applyFont="1"/>
    <xf numFmtId="165" fontId="0" fillId="0" borderId="0" xfId="0" applyNumberFormat="1"/>
    <xf numFmtId="165" fontId="0" fillId="3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65" fontId="0" fillId="4" borderId="2" xfId="0" applyNumberFormat="1" applyFill="1" applyBorder="1" applyAlignment="1">
      <alignment horizontal="left"/>
    </xf>
    <xf numFmtId="0" fontId="7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sk-SK" sz="1800" b="0" i="0" baseline="0">
                <a:solidFill>
                  <a:sysClr val="windowText" lastClr="000000"/>
                </a:solidFill>
                <a:effectLst/>
              </a:rPr>
              <a:t>Výšky poistných plnení poisťovne a zaisťovne </a:t>
            </a:r>
            <a:r>
              <a:rPr lang="sk-SK" sz="1800" b="1" i="0" baseline="0">
                <a:solidFill>
                  <a:sysClr val="windowText" lastClr="000000"/>
                </a:solidFill>
                <a:effectLst/>
              </a:rPr>
              <a:t>pri</a:t>
            </a:r>
          </a:p>
          <a:p>
            <a:pPr>
              <a:defRPr/>
            </a:pPr>
            <a:r>
              <a:rPr lang="sk-SK" sz="1800" b="1" i="0" baseline="0">
                <a:solidFill>
                  <a:sysClr val="windowText" lastClr="000000"/>
                </a:solidFill>
                <a:effectLst/>
              </a:rPr>
              <a:t>Stop Loss zaistení</a:t>
            </a:r>
            <a:endParaRPr lang="sk-SK" b="1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poistné plnenia zaisťovne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'Habil-K08-Priklad_8.7'!$E$6:$E$85</c:f>
              <c:numCache>
                <c:formatCode>#\ ##0\ "€"</c:formatCode>
                <c:ptCount val="80"/>
                <c:pt idx="0">
                  <c:v>3000</c:v>
                </c:pt>
                <c:pt idx="1">
                  <c:v>5000</c:v>
                </c:pt>
                <c:pt idx="2">
                  <c:v>7500</c:v>
                </c:pt>
                <c:pt idx="3">
                  <c:v>2000</c:v>
                </c:pt>
                <c:pt idx="4">
                  <c:v>13000</c:v>
                </c:pt>
                <c:pt idx="5">
                  <c:v>7000</c:v>
                </c:pt>
                <c:pt idx="6">
                  <c:v>4500</c:v>
                </c:pt>
                <c:pt idx="7">
                  <c:v>2000</c:v>
                </c:pt>
                <c:pt idx="8">
                  <c:v>4000</c:v>
                </c:pt>
                <c:pt idx="9">
                  <c:v>9000</c:v>
                </c:pt>
                <c:pt idx="10">
                  <c:v>26500</c:v>
                </c:pt>
                <c:pt idx="11">
                  <c:v>10000</c:v>
                </c:pt>
                <c:pt idx="12">
                  <c:v>9500</c:v>
                </c:pt>
                <c:pt idx="13">
                  <c:v>8000</c:v>
                </c:pt>
                <c:pt idx="14">
                  <c:v>1000</c:v>
                </c:pt>
                <c:pt idx="15">
                  <c:v>6500</c:v>
                </c:pt>
                <c:pt idx="16">
                  <c:v>8500</c:v>
                </c:pt>
                <c:pt idx="17">
                  <c:v>12000</c:v>
                </c:pt>
                <c:pt idx="18">
                  <c:v>22000</c:v>
                </c:pt>
                <c:pt idx="19">
                  <c:v>17000</c:v>
                </c:pt>
                <c:pt idx="20">
                  <c:v>11000</c:v>
                </c:pt>
                <c:pt idx="21">
                  <c:v>12500</c:v>
                </c:pt>
                <c:pt idx="22">
                  <c:v>1500</c:v>
                </c:pt>
                <c:pt idx="23">
                  <c:v>2000</c:v>
                </c:pt>
                <c:pt idx="24">
                  <c:v>7500</c:v>
                </c:pt>
                <c:pt idx="25">
                  <c:v>1000</c:v>
                </c:pt>
                <c:pt idx="26">
                  <c:v>13500</c:v>
                </c:pt>
                <c:pt idx="27">
                  <c:v>19500</c:v>
                </c:pt>
                <c:pt idx="28">
                  <c:v>30000</c:v>
                </c:pt>
                <c:pt idx="29">
                  <c:v>8000</c:v>
                </c:pt>
                <c:pt idx="30">
                  <c:v>5000</c:v>
                </c:pt>
                <c:pt idx="31">
                  <c:v>5500</c:v>
                </c:pt>
                <c:pt idx="32">
                  <c:v>5000</c:v>
                </c:pt>
                <c:pt idx="33">
                  <c:v>16000</c:v>
                </c:pt>
                <c:pt idx="34">
                  <c:v>2500</c:v>
                </c:pt>
                <c:pt idx="35">
                  <c:v>2000</c:v>
                </c:pt>
                <c:pt idx="36">
                  <c:v>11500</c:v>
                </c:pt>
                <c:pt idx="37">
                  <c:v>4000</c:v>
                </c:pt>
                <c:pt idx="38">
                  <c:v>4000</c:v>
                </c:pt>
                <c:pt idx="39">
                  <c:v>1500</c:v>
                </c:pt>
                <c:pt idx="40">
                  <c:v>1000</c:v>
                </c:pt>
                <c:pt idx="41">
                  <c:v>2500</c:v>
                </c:pt>
                <c:pt idx="42">
                  <c:v>3000</c:v>
                </c:pt>
                <c:pt idx="43">
                  <c:v>3000</c:v>
                </c:pt>
                <c:pt idx="44">
                  <c:v>11500</c:v>
                </c:pt>
                <c:pt idx="45">
                  <c:v>4000</c:v>
                </c:pt>
                <c:pt idx="46">
                  <c:v>5500</c:v>
                </c:pt>
                <c:pt idx="47">
                  <c:v>6000</c:v>
                </c:pt>
                <c:pt idx="48">
                  <c:v>6000</c:v>
                </c:pt>
                <c:pt idx="49">
                  <c:v>500</c:v>
                </c:pt>
                <c:pt idx="50">
                  <c:v>3000</c:v>
                </c:pt>
                <c:pt idx="51">
                  <c:v>14500</c:v>
                </c:pt>
                <c:pt idx="52">
                  <c:v>33000</c:v>
                </c:pt>
                <c:pt idx="53">
                  <c:v>2000</c:v>
                </c:pt>
                <c:pt idx="54">
                  <c:v>500</c:v>
                </c:pt>
                <c:pt idx="55">
                  <c:v>1000</c:v>
                </c:pt>
                <c:pt idx="56">
                  <c:v>1000</c:v>
                </c:pt>
                <c:pt idx="57">
                  <c:v>7000</c:v>
                </c:pt>
                <c:pt idx="58">
                  <c:v>13000</c:v>
                </c:pt>
                <c:pt idx="59">
                  <c:v>1000</c:v>
                </c:pt>
                <c:pt idx="60">
                  <c:v>1500</c:v>
                </c:pt>
                <c:pt idx="61">
                  <c:v>1500</c:v>
                </c:pt>
                <c:pt idx="62">
                  <c:v>2000</c:v>
                </c:pt>
                <c:pt idx="63">
                  <c:v>21000</c:v>
                </c:pt>
                <c:pt idx="64">
                  <c:v>1000</c:v>
                </c:pt>
                <c:pt idx="65">
                  <c:v>1000</c:v>
                </c:pt>
                <c:pt idx="66">
                  <c:v>5000</c:v>
                </c:pt>
                <c:pt idx="67">
                  <c:v>4000</c:v>
                </c:pt>
                <c:pt idx="68">
                  <c:v>9000</c:v>
                </c:pt>
                <c:pt idx="69">
                  <c:v>8000</c:v>
                </c:pt>
                <c:pt idx="70">
                  <c:v>4000</c:v>
                </c:pt>
                <c:pt idx="71">
                  <c:v>6000</c:v>
                </c:pt>
                <c:pt idx="72">
                  <c:v>3000</c:v>
                </c:pt>
                <c:pt idx="73">
                  <c:v>3500</c:v>
                </c:pt>
                <c:pt idx="74">
                  <c:v>14500</c:v>
                </c:pt>
                <c:pt idx="75">
                  <c:v>2500</c:v>
                </c:pt>
                <c:pt idx="76">
                  <c:v>8500</c:v>
                </c:pt>
                <c:pt idx="77">
                  <c:v>4500</c:v>
                </c:pt>
                <c:pt idx="78">
                  <c:v>16500</c:v>
                </c:pt>
                <c:pt idx="79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A-4ADE-9F2B-662D3A4D92BB}"/>
            </c:ext>
          </c:extLst>
        </c:ser>
        <c:ser>
          <c:idx val="1"/>
          <c:order val="1"/>
          <c:tx>
            <c:v>poistné plnenia poisťovne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'Habil-K08-Priklad_8.7'!$I$6:$I$32</c:f>
              <c:numCache>
                <c:formatCode>#\ ##0.00\ "€"</c:formatCode>
                <c:ptCount val="27"/>
                <c:pt idx="0">
                  <c:v>3000</c:v>
                </c:pt>
                <c:pt idx="1">
                  <c:v>5000</c:v>
                </c:pt>
                <c:pt idx="2">
                  <c:v>7500</c:v>
                </c:pt>
                <c:pt idx="3">
                  <c:v>2000</c:v>
                </c:pt>
                <c:pt idx="4">
                  <c:v>13000</c:v>
                </c:pt>
                <c:pt idx="5">
                  <c:v>7000</c:v>
                </c:pt>
                <c:pt idx="6">
                  <c:v>4500</c:v>
                </c:pt>
                <c:pt idx="7">
                  <c:v>2000</c:v>
                </c:pt>
                <c:pt idx="8">
                  <c:v>4000</c:v>
                </c:pt>
                <c:pt idx="9">
                  <c:v>9000</c:v>
                </c:pt>
                <c:pt idx="10">
                  <c:v>26500</c:v>
                </c:pt>
                <c:pt idx="11">
                  <c:v>10000</c:v>
                </c:pt>
                <c:pt idx="12">
                  <c:v>9500</c:v>
                </c:pt>
                <c:pt idx="13">
                  <c:v>8000</c:v>
                </c:pt>
                <c:pt idx="14">
                  <c:v>1000</c:v>
                </c:pt>
                <c:pt idx="15">
                  <c:v>6500</c:v>
                </c:pt>
                <c:pt idx="16">
                  <c:v>8500</c:v>
                </c:pt>
                <c:pt idx="17">
                  <c:v>12000</c:v>
                </c:pt>
                <c:pt idx="18">
                  <c:v>22000</c:v>
                </c:pt>
                <c:pt idx="19">
                  <c:v>17000</c:v>
                </c:pt>
                <c:pt idx="20">
                  <c:v>11000</c:v>
                </c:pt>
                <c:pt idx="21">
                  <c:v>12500</c:v>
                </c:pt>
                <c:pt idx="22">
                  <c:v>1500</c:v>
                </c:pt>
                <c:pt idx="23">
                  <c:v>2000</c:v>
                </c:pt>
                <c:pt idx="24">
                  <c:v>7500</c:v>
                </c:pt>
                <c:pt idx="25">
                  <c:v>1000</c:v>
                </c:pt>
                <c:pt idx="26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A-4ADE-9F2B-662D3A4D9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00672200"/>
        <c:axId val="400672528"/>
      </c:barChart>
      <c:catAx>
        <c:axId val="400672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400" b="0">
                    <a:solidFill>
                      <a:sysClr val="windowText" lastClr="000000"/>
                    </a:solidFill>
                  </a:rPr>
                  <a:t>poradové číslo poistného nároku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00672528"/>
        <c:crosses val="autoZero"/>
        <c:auto val="1"/>
        <c:lblAlgn val="ctr"/>
        <c:lblOffset val="100"/>
        <c:noMultiLvlLbl val="0"/>
      </c:catAx>
      <c:valAx>
        <c:axId val="4006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400" b="0">
                    <a:solidFill>
                      <a:sysClr val="windowText" lastClr="000000"/>
                    </a:solidFill>
                  </a:rPr>
                  <a:t>výška poistného nároku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0067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sqref="A1:I1"/>
    </sheetView>
  </sheetViews>
  <sheetFormatPr defaultRowHeight="15" x14ac:dyDescent="0.25"/>
  <cols>
    <col min="2" max="3" width="17.140625" customWidth="1"/>
    <col min="4" max="4" width="9.140625" customWidth="1"/>
    <col min="5" max="6" width="17.140625" customWidth="1"/>
    <col min="7" max="7" width="13.140625" customWidth="1"/>
    <col min="8" max="8" width="25.140625" customWidth="1"/>
    <col min="9" max="9" width="16.85546875" customWidth="1"/>
  </cols>
  <sheetData>
    <row r="1" spans="1:9" ht="32.25" customHeight="1" x14ac:dyDescent="0.25">
      <c r="A1" s="16" t="s">
        <v>89</v>
      </c>
      <c r="B1" s="17"/>
      <c r="C1" s="17"/>
      <c r="D1" s="17"/>
      <c r="E1" s="17"/>
      <c r="F1" s="17"/>
      <c r="G1" s="17"/>
      <c r="H1" s="17"/>
      <c r="I1" s="17"/>
    </row>
    <row r="2" spans="1:9" ht="20.25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5" spans="1:9" ht="45" x14ac:dyDescent="0.25">
      <c r="D5" s="3" t="s">
        <v>5</v>
      </c>
      <c r="E5" s="4" t="s">
        <v>82</v>
      </c>
      <c r="F5" s="4" t="s">
        <v>83</v>
      </c>
      <c r="G5" s="4" t="s">
        <v>87</v>
      </c>
      <c r="H5" s="4" t="s">
        <v>87</v>
      </c>
    </row>
    <row r="6" spans="1:9" x14ac:dyDescent="0.25">
      <c r="D6" s="2" t="s">
        <v>1</v>
      </c>
      <c r="E6" s="9">
        <v>3000</v>
      </c>
      <c r="F6" s="9">
        <f>SUM($E$6:E6)</f>
        <v>3000</v>
      </c>
      <c r="G6" s="1" t="str">
        <f>IF(F6&lt;$B$10,"poisťovňa","ZAISŤOVŇA")</f>
        <v>poisťovňa</v>
      </c>
      <c r="H6" s="15" t="str">
        <f>G6</f>
        <v>poisťovňa</v>
      </c>
      <c r="I6" s="8">
        <f>E6</f>
        <v>3000</v>
      </c>
    </row>
    <row r="7" spans="1:9" x14ac:dyDescent="0.25">
      <c r="D7" s="2" t="s">
        <v>2</v>
      </c>
      <c r="E7" s="9">
        <v>5000</v>
      </c>
      <c r="F7" s="9">
        <f>SUM($E$6:E7)</f>
        <v>8000</v>
      </c>
      <c r="G7" s="1" t="str">
        <f t="shared" ref="G7:G70" si="0">IF(F7&lt;$B$10,"poisťovňa","ZAISŤOVŇA")</f>
        <v>poisťovňa</v>
      </c>
      <c r="H7" s="15" t="str">
        <f t="shared" ref="H7:H70" si="1">G7</f>
        <v>poisťovňa</v>
      </c>
      <c r="I7" s="8">
        <f t="shared" ref="I7:I31" si="2">E7</f>
        <v>5000</v>
      </c>
    </row>
    <row r="8" spans="1:9" ht="18" x14ac:dyDescent="0.35">
      <c r="A8" s="6" t="s">
        <v>84</v>
      </c>
      <c r="B8" s="10">
        <v>108500</v>
      </c>
      <c r="D8" s="2" t="s">
        <v>3</v>
      </c>
      <c r="E8" s="9">
        <v>7500</v>
      </c>
      <c r="F8" s="9">
        <f>SUM($E$6:E8)</f>
        <v>15500</v>
      </c>
      <c r="G8" s="1" t="str">
        <f t="shared" si="0"/>
        <v>poisťovňa</v>
      </c>
      <c r="H8" s="15" t="str">
        <f t="shared" si="1"/>
        <v>poisťovňa</v>
      </c>
      <c r="I8" s="8">
        <f t="shared" si="2"/>
        <v>7500</v>
      </c>
    </row>
    <row r="9" spans="1:9" x14ac:dyDescent="0.25">
      <c r="A9" s="5" t="s">
        <v>85</v>
      </c>
      <c r="B9" s="11">
        <v>2</v>
      </c>
      <c r="D9" s="2" t="s">
        <v>4</v>
      </c>
      <c r="E9" s="9">
        <v>2000</v>
      </c>
      <c r="F9" s="9">
        <f>SUM($E$6:E9)</f>
        <v>17500</v>
      </c>
      <c r="G9" s="1" t="str">
        <f t="shared" si="0"/>
        <v>poisťovňa</v>
      </c>
      <c r="H9" s="15" t="str">
        <f t="shared" si="1"/>
        <v>poisťovňa</v>
      </c>
      <c r="I9" s="8">
        <f t="shared" si="2"/>
        <v>2000</v>
      </c>
    </row>
    <row r="10" spans="1:9" ht="18" x14ac:dyDescent="0.35">
      <c r="A10" s="7" t="s">
        <v>86</v>
      </c>
      <c r="B10" s="12">
        <f>B9*B8</f>
        <v>217000</v>
      </c>
      <c r="D10" s="2" t="s">
        <v>6</v>
      </c>
      <c r="E10" s="9">
        <v>13000</v>
      </c>
      <c r="F10" s="9">
        <f>SUM($E$6:E10)</f>
        <v>30500</v>
      </c>
      <c r="G10" s="1" t="str">
        <f t="shared" si="0"/>
        <v>poisťovňa</v>
      </c>
      <c r="H10" s="15" t="str">
        <f t="shared" si="1"/>
        <v>poisťovňa</v>
      </c>
      <c r="I10" s="8">
        <f t="shared" si="2"/>
        <v>13000</v>
      </c>
    </row>
    <row r="11" spans="1:9" x14ac:dyDescent="0.25">
      <c r="D11" s="2" t="s">
        <v>7</v>
      </c>
      <c r="E11" s="9">
        <v>7000</v>
      </c>
      <c r="F11" s="9">
        <f>SUM($E$6:E11)</f>
        <v>37500</v>
      </c>
      <c r="G11" s="1" t="str">
        <f t="shared" si="0"/>
        <v>poisťovňa</v>
      </c>
      <c r="H11" s="15" t="str">
        <f t="shared" si="1"/>
        <v>poisťovňa</v>
      </c>
      <c r="I11" s="8">
        <f t="shared" si="2"/>
        <v>7000</v>
      </c>
    </row>
    <row r="12" spans="1:9" x14ac:dyDescent="0.25">
      <c r="D12" s="2" t="s">
        <v>8</v>
      </c>
      <c r="E12" s="9">
        <v>4500</v>
      </c>
      <c r="F12" s="9">
        <f>SUM($E$6:E12)</f>
        <v>42000</v>
      </c>
      <c r="G12" s="1" t="str">
        <f t="shared" si="0"/>
        <v>poisťovňa</v>
      </c>
      <c r="H12" s="15" t="str">
        <f t="shared" si="1"/>
        <v>poisťovňa</v>
      </c>
      <c r="I12" s="8">
        <f t="shared" si="2"/>
        <v>4500</v>
      </c>
    </row>
    <row r="13" spans="1:9" x14ac:dyDescent="0.25">
      <c r="D13" s="2" t="s">
        <v>9</v>
      </c>
      <c r="E13" s="9">
        <v>2000</v>
      </c>
      <c r="F13" s="9">
        <f>SUM($E$6:E13)</f>
        <v>44000</v>
      </c>
      <c r="G13" s="1" t="str">
        <f t="shared" si="0"/>
        <v>poisťovňa</v>
      </c>
      <c r="H13" s="15" t="str">
        <f t="shared" si="1"/>
        <v>poisťovňa</v>
      </c>
      <c r="I13" s="8">
        <f t="shared" si="2"/>
        <v>2000</v>
      </c>
    </row>
    <row r="14" spans="1:9" x14ac:dyDescent="0.25">
      <c r="D14" s="2" t="s">
        <v>10</v>
      </c>
      <c r="E14" s="9">
        <v>4000</v>
      </c>
      <c r="F14" s="9">
        <f>SUM($E$6:E14)</f>
        <v>48000</v>
      </c>
      <c r="G14" s="1" t="str">
        <f t="shared" si="0"/>
        <v>poisťovňa</v>
      </c>
      <c r="H14" s="15" t="str">
        <f t="shared" si="1"/>
        <v>poisťovňa</v>
      </c>
      <c r="I14" s="8">
        <f t="shared" si="2"/>
        <v>4000</v>
      </c>
    </row>
    <row r="15" spans="1:9" x14ac:dyDescent="0.25">
      <c r="D15" s="2" t="s">
        <v>11</v>
      </c>
      <c r="E15" s="9">
        <v>9000</v>
      </c>
      <c r="F15" s="9">
        <f>SUM($E$6:E15)</f>
        <v>57000</v>
      </c>
      <c r="G15" s="1" t="str">
        <f t="shared" si="0"/>
        <v>poisťovňa</v>
      </c>
      <c r="H15" s="15" t="str">
        <f t="shared" si="1"/>
        <v>poisťovňa</v>
      </c>
      <c r="I15" s="8">
        <f t="shared" si="2"/>
        <v>9000</v>
      </c>
    </row>
    <row r="16" spans="1:9" x14ac:dyDescent="0.25">
      <c r="D16" s="2" t="s">
        <v>12</v>
      </c>
      <c r="E16" s="9">
        <v>26500</v>
      </c>
      <c r="F16" s="9">
        <f>SUM($E$6:E16)</f>
        <v>83500</v>
      </c>
      <c r="G16" s="1" t="str">
        <f t="shared" si="0"/>
        <v>poisťovňa</v>
      </c>
      <c r="H16" s="15" t="str">
        <f t="shared" si="1"/>
        <v>poisťovňa</v>
      </c>
      <c r="I16" s="8">
        <f t="shared" si="2"/>
        <v>26500</v>
      </c>
    </row>
    <row r="17" spans="4:9" x14ac:dyDescent="0.25">
      <c r="D17" s="2" t="s">
        <v>13</v>
      </c>
      <c r="E17" s="9">
        <v>10000</v>
      </c>
      <c r="F17" s="9">
        <f>SUM($E$6:E17)</f>
        <v>93500</v>
      </c>
      <c r="G17" s="1" t="str">
        <f t="shared" si="0"/>
        <v>poisťovňa</v>
      </c>
      <c r="H17" s="15" t="str">
        <f t="shared" si="1"/>
        <v>poisťovňa</v>
      </c>
      <c r="I17" s="8">
        <f t="shared" si="2"/>
        <v>10000</v>
      </c>
    </row>
    <row r="18" spans="4:9" x14ac:dyDescent="0.25">
      <c r="D18" s="2" t="s">
        <v>14</v>
      </c>
      <c r="E18" s="9">
        <v>9500</v>
      </c>
      <c r="F18" s="9">
        <f>SUM($E$6:E18)</f>
        <v>103000</v>
      </c>
      <c r="G18" s="1" t="str">
        <f t="shared" si="0"/>
        <v>poisťovňa</v>
      </c>
      <c r="H18" s="15" t="str">
        <f t="shared" si="1"/>
        <v>poisťovňa</v>
      </c>
      <c r="I18" s="8">
        <f t="shared" si="2"/>
        <v>9500</v>
      </c>
    </row>
    <row r="19" spans="4:9" x14ac:dyDescent="0.25">
      <c r="D19" s="2" t="s">
        <v>15</v>
      </c>
      <c r="E19" s="9">
        <v>8000</v>
      </c>
      <c r="F19" s="9">
        <f>SUM($E$6:E19)</f>
        <v>111000</v>
      </c>
      <c r="G19" s="1" t="str">
        <f t="shared" si="0"/>
        <v>poisťovňa</v>
      </c>
      <c r="H19" s="15" t="str">
        <f t="shared" si="1"/>
        <v>poisťovňa</v>
      </c>
      <c r="I19" s="8">
        <f t="shared" si="2"/>
        <v>8000</v>
      </c>
    </row>
    <row r="20" spans="4:9" x14ac:dyDescent="0.25">
      <c r="D20" s="2" t="s">
        <v>16</v>
      </c>
      <c r="E20" s="9">
        <v>1000</v>
      </c>
      <c r="F20" s="9">
        <f>SUM($E$6:E20)</f>
        <v>112000</v>
      </c>
      <c r="G20" s="1" t="str">
        <f t="shared" si="0"/>
        <v>poisťovňa</v>
      </c>
      <c r="H20" s="15" t="str">
        <f t="shared" si="1"/>
        <v>poisťovňa</v>
      </c>
      <c r="I20" s="8">
        <f t="shared" si="2"/>
        <v>1000</v>
      </c>
    </row>
    <row r="21" spans="4:9" x14ac:dyDescent="0.25">
      <c r="D21" s="2" t="s">
        <v>17</v>
      </c>
      <c r="E21" s="9">
        <v>6500</v>
      </c>
      <c r="F21" s="9">
        <f>SUM($E$6:E21)</f>
        <v>118500</v>
      </c>
      <c r="G21" s="1" t="str">
        <f t="shared" si="0"/>
        <v>poisťovňa</v>
      </c>
      <c r="H21" s="15" t="str">
        <f t="shared" si="1"/>
        <v>poisťovňa</v>
      </c>
      <c r="I21" s="8">
        <f t="shared" si="2"/>
        <v>6500</v>
      </c>
    </row>
    <row r="22" spans="4:9" x14ac:dyDescent="0.25">
      <c r="D22" s="2" t="s">
        <v>18</v>
      </c>
      <c r="E22" s="9">
        <v>8500</v>
      </c>
      <c r="F22" s="9">
        <f>SUM($E$6:E22)</f>
        <v>127000</v>
      </c>
      <c r="G22" s="1" t="str">
        <f t="shared" si="0"/>
        <v>poisťovňa</v>
      </c>
      <c r="H22" s="15" t="str">
        <f t="shared" si="1"/>
        <v>poisťovňa</v>
      </c>
      <c r="I22" s="8">
        <f t="shared" si="2"/>
        <v>8500</v>
      </c>
    </row>
    <row r="23" spans="4:9" x14ac:dyDescent="0.25">
      <c r="D23" s="2" t="s">
        <v>19</v>
      </c>
      <c r="E23" s="9">
        <v>12000</v>
      </c>
      <c r="F23" s="9">
        <f>SUM($E$6:E23)</f>
        <v>139000</v>
      </c>
      <c r="G23" s="1" t="str">
        <f t="shared" si="0"/>
        <v>poisťovňa</v>
      </c>
      <c r="H23" s="15" t="str">
        <f t="shared" si="1"/>
        <v>poisťovňa</v>
      </c>
      <c r="I23" s="8">
        <f t="shared" si="2"/>
        <v>12000</v>
      </c>
    </row>
    <row r="24" spans="4:9" x14ac:dyDescent="0.25">
      <c r="D24" s="2" t="s">
        <v>20</v>
      </c>
      <c r="E24" s="9">
        <v>22000</v>
      </c>
      <c r="F24" s="9">
        <f>SUM($E$6:E24)</f>
        <v>161000</v>
      </c>
      <c r="G24" s="1" t="str">
        <f t="shared" si="0"/>
        <v>poisťovňa</v>
      </c>
      <c r="H24" s="15" t="str">
        <f t="shared" si="1"/>
        <v>poisťovňa</v>
      </c>
      <c r="I24" s="8">
        <f t="shared" si="2"/>
        <v>22000</v>
      </c>
    </row>
    <row r="25" spans="4:9" x14ac:dyDescent="0.25">
      <c r="D25" s="2" t="s">
        <v>21</v>
      </c>
      <c r="E25" s="9">
        <v>17000</v>
      </c>
      <c r="F25" s="9">
        <f>SUM($E$6:E25)</f>
        <v>178000</v>
      </c>
      <c r="G25" s="1" t="str">
        <f t="shared" si="0"/>
        <v>poisťovňa</v>
      </c>
      <c r="H25" s="15" t="str">
        <f t="shared" si="1"/>
        <v>poisťovňa</v>
      </c>
      <c r="I25" s="8">
        <f t="shared" si="2"/>
        <v>17000</v>
      </c>
    </row>
    <row r="26" spans="4:9" x14ac:dyDescent="0.25">
      <c r="D26" s="2" t="s">
        <v>22</v>
      </c>
      <c r="E26" s="9">
        <v>11000</v>
      </c>
      <c r="F26" s="9">
        <f>SUM($E$6:E26)</f>
        <v>189000</v>
      </c>
      <c r="G26" s="1" t="str">
        <f t="shared" si="0"/>
        <v>poisťovňa</v>
      </c>
      <c r="H26" s="15" t="str">
        <f t="shared" si="1"/>
        <v>poisťovňa</v>
      </c>
      <c r="I26" s="8">
        <f t="shared" si="2"/>
        <v>11000</v>
      </c>
    </row>
    <row r="27" spans="4:9" x14ac:dyDescent="0.25">
      <c r="D27" s="2" t="s">
        <v>23</v>
      </c>
      <c r="E27" s="9">
        <v>12500</v>
      </c>
      <c r="F27" s="9">
        <f>SUM($E$6:E27)</f>
        <v>201500</v>
      </c>
      <c r="G27" s="1" t="str">
        <f t="shared" si="0"/>
        <v>poisťovňa</v>
      </c>
      <c r="H27" s="15" t="str">
        <f t="shared" si="1"/>
        <v>poisťovňa</v>
      </c>
      <c r="I27" s="8">
        <f t="shared" si="2"/>
        <v>12500</v>
      </c>
    </row>
    <row r="28" spans="4:9" x14ac:dyDescent="0.25">
      <c r="D28" s="2" t="s">
        <v>24</v>
      </c>
      <c r="E28" s="9">
        <v>1500</v>
      </c>
      <c r="F28" s="9">
        <f>SUM($E$6:E28)</f>
        <v>203000</v>
      </c>
      <c r="G28" s="1" t="str">
        <f t="shared" si="0"/>
        <v>poisťovňa</v>
      </c>
      <c r="H28" s="15" t="str">
        <f t="shared" si="1"/>
        <v>poisťovňa</v>
      </c>
      <c r="I28" s="8">
        <f t="shared" si="2"/>
        <v>1500</v>
      </c>
    </row>
    <row r="29" spans="4:9" x14ac:dyDescent="0.25">
      <c r="D29" s="2" t="s">
        <v>25</v>
      </c>
      <c r="E29" s="9">
        <v>2000</v>
      </c>
      <c r="F29" s="9">
        <f>SUM($E$6:E29)</f>
        <v>205000</v>
      </c>
      <c r="G29" s="1" t="str">
        <f t="shared" si="0"/>
        <v>poisťovňa</v>
      </c>
      <c r="H29" s="15" t="str">
        <f t="shared" si="1"/>
        <v>poisťovňa</v>
      </c>
      <c r="I29" s="8">
        <f t="shared" si="2"/>
        <v>2000</v>
      </c>
    </row>
    <row r="30" spans="4:9" x14ac:dyDescent="0.25">
      <c r="D30" s="2" t="s">
        <v>26</v>
      </c>
      <c r="E30" s="9">
        <v>7500</v>
      </c>
      <c r="F30" s="9">
        <f>SUM($E$6:E30)</f>
        <v>212500</v>
      </c>
      <c r="G30" s="1" t="str">
        <f t="shared" si="0"/>
        <v>poisťovňa</v>
      </c>
      <c r="H30" s="15" t="str">
        <f t="shared" si="1"/>
        <v>poisťovňa</v>
      </c>
      <c r="I30" s="8">
        <f t="shared" si="2"/>
        <v>7500</v>
      </c>
    </row>
    <row r="31" spans="4:9" x14ac:dyDescent="0.25">
      <c r="D31" s="2" t="s">
        <v>27</v>
      </c>
      <c r="E31" s="9">
        <v>1000</v>
      </c>
      <c r="F31" s="9">
        <f>SUM($E$6:E31)</f>
        <v>213500</v>
      </c>
      <c r="G31" s="1" t="str">
        <f t="shared" si="0"/>
        <v>poisťovňa</v>
      </c>
      <c r="H31" s="15" t="str">
        <f t="shared" si="1"/>
        <v>poisťovňa</v>
      </c>
      <c r="I31" s="8">
        <f t="shared" si="2"/>
        <v>1000</v>
      </c>
    </row>
    <row r="32" spans="4:9" x14ac:dyDescent="0.25">
      <c r="D32" s="2" t="s">
        <v>28</v>
      </c>
      <c r="E32" s="9">
        <v>13500</v>
      </c>
      <c r="F32" s="9">
        <f>SUM($E$6:E32)</f>
        <v>227000</v>
      </c>
      <c r="G32" s="1" t="str">
        <f t="shared" si="0"/>
        <v>ZAISŤOVŇA</v>
      </c>
      <c r="H32" s="14" t="s">
        <v>88</v>
      </c>
      <c r="I32" s="8">
        <f>B10-F31</f>
        <v>3500</v>
      </c>
    </row>
    <row r="33" spans="4:8" x14ac:dyDescent="0.25">
      <c r="D33" s="2" t="s">
        <v>29</v>
      </c>
      <c r="E33" s="9">
        <v>19500</v>
      </c>
      <c r="F33" s="9">
        <f>SUM($E$6:E33)</f>
        <v>246500</v>
      </c>
      <c r="G33" s="1" t="str">
        <f t="shared" si="0"/>
        <v>ZAISŤOVŇA</v>
      </c>
      <c r="H33" s="13" t="str">
        <f t="shared" si="1"/>
        <v>ZAISŤOVŇA</v>
      </c>
    </row>
    <row r="34" spans="4:8" x14ac:dyDescent="0.25">
      <c r="D34" s="2" t="s">
        <v>30</v>
      </c>
      <c r="E34" s="9">
        <v>30000</v>
      </c>
      <c r="F34" s="9">
        <f>SUM($E$6:E34)</f>
        <v>276500</v>
      </c>
      <c r="G34" s="1" t="str">
        <f t="shared" si="0"/>
        <v>ZAISŤOVŇA</v>
      </c>
      <c r="H34" s="13" t="str">
        <f t="shared" si="1"/>
        <v>ZAISŤOVŇA</v>
      </c>
    </row>
    <row r="35" spans="4:8" x14ac:dyDescent="0.25">
      <c r="D35" s="2" t="s">
        <v>31</v>
      </c>
      <c r="E35" s="9">
        <v>8000</v>
      </c>
      <c r="F35" s="9">
        <f>SUM($E$6:E35)</f>
        <v>284500</v>
      </c>
      <c r="G35" s="1" t="str">
        <f t="shared" si="0"/>
        <v>ZAISŤOVŇA</v>
      </c>
      <c r="H35" s="13" t="str">
        <f t="shared" si="1"/>
        <v>ZAISŤOVŇA</v>
      </c>
    </row>
    <row r="36" spans="4:8" x14ac:dyDescent="0.25">
      <c r="D36" s="2" t="s">
        <v>32</v>
      </c>
      <c r="E36" s="9">
        <v>5000</v>
      </c>
      <c r="F36" s="9">
        <f>SUM($E$6:E36)</f>
        <v>289500</v>
      </c>
      <c r="G36" s="1" t="str">
        <f t="shared" si="0"/>
        <v>ZAISŤOVŇA</v>
      </c>
      <c r="H36" s="13" t="str">
        <f t="shared" si="1"/>
        <v>ZAISŤOVŇA</v>
      </c>
    </row>
    <row r="37" spans="4:8" x14ac:dyDescent="0.25">
      <c r="D37" s="2" t="s">
        <v>33</v>
      </c>
      <c r="E37" s="9">
        <v>5500</v>
      </c>
      <c r="F37" s="9">
        <f>SUM($E$6:E37)</f>
        <v>295000</v>
      </c>
      <c r="G37" s="1" t="str">
        <f t="shared" si="0"/>
        <v>ZAISŤOVŇA</v>
      </c>
      <c r="H37" s="13" t="str">
        <f t="shared" si="1"/>
        <v>ZAISŤOVŇA</v>
      </c>
    </row>
    <row r="38" spans="4:8" x14ac:dyDescent="0.25">
      <c r="D38" s="2" t="s">
        <v>34</v>
      </c>
      <c r="E38" s="9">
        <v>5000</v>
      </c>
      <c r="F38" s="9">
        <f>SUM($E$6:E38)</f>
        <v>300000</v>
      </c>
      <c r="G38" s="1" t="str">
        <f t="shared" si="0"/>
        <v>ZAISŤOVŇA</v>
      </c>
      <c r="H38" s="13" t="str">
        <f t="shared" si="1"/>
        <v>ZAISŤOVŇA</v>
      </c>
    </row>
    <row r="39" spans="4:8" x14ac:dyDescent="0.25">
      <c r="D39" s="2" t="s">
        <v>35</v>
      </c>
      <c r="E39" s="9">
        <v>16000</v>
      </c>
      <c r="F39" s="9">
        <f>SUM($E$6:E39)</f>
        <v>316000</v>
      </c>
      <c r="G39" s="1" t="str">
        <f t="shared" si="0"/>
        <v>ZAISŤOVŇA</v>
      </c>
      <c r="H39" s="13" t="str">
        <f t="shared" si="1"/>
        <v>ZAISŤOVŇA</v>
      </c>
    </row>
    <row r="40" spans="4:8" x14ac:dyDescent="0.25">
      <c r="D40" s="2" t="s">
        <v>36</v>
      </c>
      <c r="E40" s="9">
        <v>2500</v>
      </c>
      <c r="F40" s="9">
        <f>SUM($E$6:E40)</f>
        <v>318500</v>
      </c>
      <c r="G40" s="1" t="str">
        <f t="shared" si="0"/>
        <v>ZAISŤOVŇA</v>
      </c>
      <c r="H40" s="13" t="str">
        <f t="shared" si="1"/>
        <v>ZAISŤOVŇA</v>
      </c>
    </row>
    <row r="41" spans="4:8" x14ac:dyDescent="0.25">
      <c r="D41" s="2" t="s">
        <v>37</v>
      </c>
      <c r="E41" s="9">
        <v>2000</v>
      </c>
      <c r="F41" s="9">
        <f>SUM($E$6:E41)</f>
        <v>320500</v>
      </c>
      <c r="G41" s="1" t="str">
        <f t="shared" si="0"/>
        <v>ZAISŤOVŇA</v>
      </c>
      <c r="H41" s="13" t="str">
        <f t="shared" si="1"/>
        <v>ZAISŤOVŇA</v>
      </c>
    </row>
    <row r="42" spans="4:8" x14ac:dyDescent="0.25">
      <c r="D42" s="2" t="s">
        <v>38</v>
      </c>
      <c r="E42" s="9">
        <v>11500</v>
      </c>
      <c r="F42" s="9">
        <f>SUM($E$6:E42)</f>
        <v>332000</v>
      </c>
      <c r="G42" s="1" t="str">
        <f t="shared" si="0"/>
        <v>ZAISŤOVŇA</v>
      </c>
      <c r="H42" s="13" t="str">
        <f t="shared" si="1"/>
        <v>ZAISŤOVŇA</v>
      </c>
    </row>
    <row r="43" spans="4:8" x14ac:dyDescent="0.25">
      <c r="D43" s="2" t="s">
        <v>39</v>
      </c>
      <c r="E43" s="9">
        <v>4000</v>
      </c>
      <c r="F43" s="9">
        <f>SUM($E$6:E43)</f>
        <v>336000</v>
      </c>
      <c r="G43" s="1" t="str">
        <f t="shared" si="0"/>
        <v>ZAISŤOVŇA</v>
      </c>
      <c r="H43" s="13" t="str">
        <f t="shared" si="1"/>
        <v>ZAISŤOVŇA</v>
      </c>
    </row>
    <row r="44" spans="4:8" x14ac:dyDescent="0.25">
      <c r="D44" s="2" t="s">
        <v>40</v>
      </c>
      <c r="E44" s="9">
        <v>4000</v>
      </c>
      <c r="F44" s="9">
        <f>SUM($E$6:E44)</f>
        <v>340000</v>
      </c>
      <c r="G44" s="1" t="str">
        <f t="shared" si="0"/>
        <v>ZAISŤOVŇA</v>
      </c>
      <c r="H44" s="13" t="str">
        <f t="shared" si="1"/>
        <v>ZAISŤOVŇA</v>
      </c>
    </row>
    <row r="45" spans="4:8" x14ac:dyDescent="0.25">
      <c r="D45" s="2" t="s">
        <v>41</v>
      </c>
      <c r="E45" s="9">
        <v>1500</v>
      </c>
      <c r="F45" s="9">
        <f>SUM($E$6:E45)</f>
        <v>341500</v>
      </c>
      <c r="G45" s="1" t="str">
        <f t="shared" si="0"/>
        <v>ZAISŤOVŇA</v>
      </c>
      <c r="H45" s="13" t="str">
        <f t="shared" si="1"/>
        <v>ZAISŤOVŇA</v>
      </c>
    </row>
    <row r="46" spans="4:8" x14ac:dyDescent="0.25">
      <c r="D46" s="2" t="s">
        <v>42</v>
      </c>
      <c r="E46" s="9">
        <v>1000</v>
      </c>
      <c r="F46" s="9">
        <f>SUM($E$6:E46)</f>
        <v>342500</v>
      </c>
      <c r="G46" s="1" t="str">
        <f t="shared" si="0"/>
        <v>ZAISŤOVŇA</v>
      </c>
      <c r="H46" s="13" t="str">
        <f t="shared" si="1"/>
        <v>ZAISŤOVŇA</v>
      </c>
    </row>
    <row r="47" spans="4:8" x14ac:dyDescent="0.25">
      <c r="D47" s="2" t="s">
        <v>43</v>
      </c>
      <c r="E47" s="9">
        <v>2500</v>
      </c>
      <c r="F47" s="9">
        <f>SUM($E$6:E47)</f>
        <v>345000</v>
      </c>
      <c r="G47" s="1" t="str">
        <f t="shared" si="0"/>
        <v>ZAISŤOVŇA</v>
      </c>
      <c r="H47" s="13" t="str">
        <f t="shared" si="1"/>
        <v>ZAISŤOVŇA</v>
      </c>
    </row>
    <row r="48" spans="4:8" x14ac:dyDescent="0.25">
      <c r="D48" s="2" t="s">
        <v>44</v>
      </c>
      <c r="E48" s="9">
        <v>3000</v>
      </c>
      <c r="F48" s="9">
        <f>SUM($E$6:E48)</f>
        <v>348000</v>
      </c>
      <c r="G48" s="1" t="str">
        <f t="shared" si="0"/>
        <v>ZAISŤOVŇA</v>
      </c>
      <c r="H48" s="13" t="str">
        <f t="shared" si="1"/>
        <v>ZAISŤOVŇA</v>
      </c>
    </row>
    <row r="49" spans="4:8" x14ac:dyDescent="0.25">
      <c r="D49" s="2" t="s">
        <v>45</v>
      </c>
      <c r="E49" s="9">
        <v>3000</v>
      </c>
      <c r="F49" s="9">
        <f>SUM($E$6:E49)</f>
        <v>351000</v>
      </c>
      <c r="G49" s="1" t="str">
        <f t="shared" si="0"/>
        <v>ZAISŤOVŇA</v>
      </c>
      <c r="H49" s="13" t="str">
        <f t="shared" si="1"/>
        <v>ZAISŤOVŇA</v>
      </c>
    </row>
    <row r="50" spans="4:8" x14ac:dyDescent="0.25">
      <c r="D50" s="2" t="s">
        <v>46</v>
      </c>
      <c r="E50" s="9">
        <v>11500</v>
      </c>
      <c r="F50" s="9">
        <f>SUM($E$6:E50)</f>
        <v>362500</v>
      </c>
      <c r="G50" s="1" t="str">
        <f t="shared" si="0"/>
        <v>ZAISŤOVŇA</v>
      </c>
      <c r="H50" s="13" t="str">
        <f t="shared" si="1"/>
        <v>ZAISŤOVŇA</v>
      </c>
    </row>
    <row r="51" spans="4:8" x14ac:dyDescent="0.25">
      <c r="D51" s="2" t="s">
        <v>47</v>
      </c>
      <c r="E51" s="9">
        <v>4000</v>
      </c>
      <c r="F51" s="9">
        <f>SUM($E$6:E51)</f>
        <v>366500</v>
      </c>
      <c r="G51" s="1" t="str">
        <f t="shared" si="0"/>
        <v>ZAISŤOVŇA</v>
      </c>
      <c r="H51" s="13" t="str">
        <f t="shared" si="1"/>
        <v>ZAISŤOVŇA</v>
      </c>
    </row>
    <row r="52" spans="4:8" x14ac:dyDescent="0.25">
      <c r="D52" s="2" t="s">
        <v>48</v>
      </c>
      <c r="E52" s="9">
        <v>5500</v>
      </c>
      <c r="F52" s="9">
        <f>SUM($E$6:E52)</f>
        <v>372000</v>
      </c>
      <c r="G52" s="1" t="str">
        <f t="shared" si="0"/>
        <v>ZAISŤOVŇA</v>
      </c>
      <c r="H52" s="13" t="str">
        <f t="shared" si="1"/>
        <v>ZAISŤOVŇA</v>
      </c>
    </row>
    <row r="53" spans="4:8" x14ac:dyDescent="0.25">
      <c r="D53" s="2" t="s">
        <v>49</v>
      </c>
      <c r="E53" s="9">
        <v>6000</v>
      </c>
      <c r="F53" s="9">
        <f>SUM($E$6:E53)</f>
        <v>378000</v>
      </c>
      <c r="G53" s="1" t="str">
        <f t="shared" si="0"/>
        <v>ZAISŤOVŇA</v>
      </c>
      <c r="H53" s="13" t="str">
        <f t="shared" si="1"/>
        <v>ZAISŤOVŇA</v>
      </c>
    </row>
    <row r="54" spans="4:8" x14ac:dyDescent="0.25">
      <c r="D54" s="2" t="s">
        <v>50</v>
      </c>
      <c r="E54" s="9">
        <v>6000</v>
      </c>
      <c r="F54" s="9">
        <f>SUM($E$6:E54)</f>
        <v>384000</v>
      </c>
      <c r="G54" s="1" t="str">
        <f t="shared" si="0"/>
        <v>ZAISŤOVŇA</v>
      </c>
      <c r="H54" s="13" t="str">
        <f t="shared" si="1"/>
        <v>ZAISŤOVŇA</v>
      </c>
    </row>
    <row r="55" spans="4:8" x14ac:dyDescent="0.25">
      <c r="D55" s="2" t="s">
        <v>51</v>
      </c>
      <c r="E55" s="9">
        <v>500</v>
      </c>
      <c r="F55" s="9">
        <f>SUM($E$6:E55)</f>
        <v>384500</v>
      </c>
      <c r="G55" s="1" t="str">
        <f t="shared" si="0"/>
        <v>ZAISŤOVŇA</v>
      </c>
      <c r="H55" s="13" t="str">
        <f t="shared" si="1"/>
        <v>ZAISŤOVŇA</v>
      </c>
    </row>
    <row r="56" spans="4:8" x14ac:dyDescent="0.25">
      <c r="D56" s="2" t="s">
        <v>52</v>
      </c>
      <c r="E56" s="9">
        <v>3000</v>
      </c>
      <c r="F56" s="9">
        <f>SUM($E$6:E56)</f>
        <v>387500</v>
      </c>
      <c r="G56" s="1" t="str">
        <f t="shared" si="0"/>
        <v>ZAISŤOVŇA</v>
      </c>
      <c r="H56" s="13" t="str">
        <f t="shared" si="1"/>
        <v>ZAISŤOVŇA</v>
      </c>
    </row>
    <row r="57" spans="4:8" x14ac:dyDescent="0.25">
      <c r="D57" s="2" t="s">
        <v>53</v>
      </c>
      <c r="E57" s="9">
        <v>14500</v>
      </c>
      <c r="F57" s="9">
        <f>SUM($E$6:E57)</f>
        <v>402000</v>
      </c>
      <c r="G57" s="1" t="str">
        <f t="shared" si="0"/>
        <v>ZAISŤOVŇA</v>
      </c>
      <c r="H57" s="13" t="str">
        <f t="shared" si="1"/>
        <v>ZAISŤOVŇA</v>
      </c>
    </row>
    <row r="58" spans="4:8" x14ac:dyDescent="0.25">
      <c r="D58" s="2" t="s">
        <v>54</v>
      </c>
      <c r="E58" s="9">
        <v>33000</v>
      </c>
      <c r="F58" s="9">
        <f>SUM($E$6:E58)</f>
        <v>435000</v>
      </c>
      <c r="G58" s="1" t="str">
        <f t="shared" si="0"/>
        <v>ZAISŤOVŇA</v>
      </c>
      <c r="H58" s="13" t="str">
        <f t="shared" si="1"/>
        <v>ZAISŤOVŇA</v>
      </c>
    </row>
    <row r="59" spans="4:8" x14ac:dyDescent="0.25">
      <c r="D59" s="2" t="s">
        <v>55</v>
      </c>
      <c r="E59" s="9">
        <v>2000</v>
      </c>
      <c r="F59" s="9">
        <f>SUM($E$6:E59)</f>
        <v>437000</v>
      </c>
      <c r="G59" s="1" t="str">
        <f t="shared" si="0"/>
        <v>ZAISŤOVŇA</v>
      </c>
      <c r="H59" s="13" t="str">
        <f t="shared" si="1"/>
        <v>ZAISŤOVŇA</v>
      </c>
    </row>
    <row r="60" spans="4:8" x14ac:dyDescent="0.25">
      <c r="D60" s="2" t="s">
        <v>56</v>
      </c>
      <c r="E60" s="9">
        <v>500</v>
      </c>
      <c r="F60" s="9">
        <f>SUM($E$6:E60)</f>
        <v>437500</v>
      </c>
      <c r="G60" s="1" t="str">
        <f t="shared" si="0"/>
        <v>ZAISŤOVŇA</v>
      </c>
      <c r="H60" s="13" t="str">
        <f t="shared" si="1"/>
        <v>ZAISŤOVŇA</v>
      </c>
    </row>
    <row r="61" spans="4:8" x14ac:dyDescent="0.25">
      <c r="D61" s="2" t="s">
        <v>57</v>
      </c>
      <c r="E61" s="9">
        <v>1000</v>
      </c>
      <c r="F61" s="9">
        <f>SUM($E$6:E61)</f>
        <v>438500</v>
      </c>
      <c r="G61" s="1" t="str">
        <f t="shared" si="0"/>
        <v>ZAISŤOVŇA</v>
      </c>
      <c r="H61" s="13" t="str">
        <f t="shared" si="1"/>
        <v>ZAISŤOVŇA</v>
      </c>
    </row>
    <row r="62" spans="4:8" x14ac:dyDescent="0.25">
      <c r="D62" s="2" t="s">
        <v>58</v>
      </c>
      <c r="E62" s="9">
        <v>1000</v>
      </c>
      <c r="F62" s="9">
        <f>SUM($E$6:E62)</f>
        <v>439500</v>
      </c>
      <c r="G62" s="1" t="str">
        <f t="shared" si="0"/>
        <v>ZAISŤOVŇA</v>
      </c>
      <c r="H62" s="13" t="str">
        <f t="shared" si="1"/>
        <v>ZAISŤOVŇA</v>
      </c>
    </row>
    <row r="63" spans="4:8" x14ac:dyDescent="0.25">
      <c r="D63" s="2" t="s">
        <v>59</v>
      </c>
      <c r="E63" s="9">
        <v>7000</v>
      </c>
      <c r="F63" s="9">
        <f>SUM($E$6:E63)</f>
        <v>446500</v>
      </c>
      <c r="G63" s="1" t="str">
        <f t="shared" si="0"/>
        <v>ZAISŤOVŇA</v>
      </c>
      <c r="H63" s="13" t="str">
        <f t="shared" si="1"/>
        <v>ZAISŤOVŇA</v>
      </c>
    </row>
    <row r="64" spans="4:8" x14ac:dyDescent="0.25">
      <c r="D64" s="2" t="s">
        <v>60</v>
      </c>
      <c r="E64" s="9">
        <v>13000</v>
      </c>
      <c r="F64" s="9">
        <f>SUM($E$6:E64)</f>
        <v>459500</v>
      </c>
      <c r="G64" s="1" t="str">
        <f t="shared" si="0"/>
        <v>ZAISŤOVŇA</v>
      </c>
      <c r="H64" s="13" t="str">
        <f t="shared" si="1"/>
        <v>ZAISŤOVŇA</v>
      </c>
    </row>
    <row r="65" spans="4:8" x14ac:dyDescent="0.25">
      <c r="D65" s="2" t="s">
        <v>61</v>
      </c>
      <c r="E65" s="9">
        <v>1000</v>
      </c>
      <c r="F65" s="9">
        <f>SUM($E$6:E65)</f>
        <v>460500</v>
      </c>
      <c r="G65" s="1" t="str">
        <f t="shared" si="0"/>
        <v>ZAISŤOVŇA</v>
      </c>
      <c r="H65" s="13" t="str">
        <f t="shared" si="1"/>
        <v>ZAISŤOVŇA</v>
      </c>
    </row>
    <row r="66" spans="4:8" x14ac:dyDescent="0.25">
      <c r="D66" s="2" t="s">
        <v>62</v>
      </c>
      <c r="E66" s="9">
        <v>1500</v>
      </c>
      <c r="F66" s="9">
        <f>SUM($E$6:E66)</f>
        <v>462000</v>
      </c>
      <c r="G66" s="1" t="str">
        <f t="shared" si="0"/>
        <v>ZAISŤOVŇA</v>
      </c>
      <c r="H66" s="13" t="str">
        <f t="shared" si="1"/>
        <v>ZAISŤOVŇA</v>
      </c>
    </row>
    <row r="67" spans="4:8" x14ac:dyDescent="0.25">
      <c r="D67" s="2" t="s">
        <v>63</v>
      </c>
      <c r="E67" s="9">
        <v>1500</v>
      </c>
      <c r="F67" s="9">
        <f>SUM($E$6:E67)</f>
        <v>463500</v>
      </c>
      <c r="G67" s="1" t="str">
        <f t="shared" si="0"/>
        <v>ZAISŤOVŇA</v>
      </c>
      <c r="H67" s="13" t="str">
        <f t="shared" si="1"/>
        <v>ZAISŤOVŇA</v>
      </c>
    </row>
    <row r="68" spans="4:8" x14ac:dyDescent="0.25">
      <c r="D68" s="2" t="s">
        <v>64</v>
      </c>
      <c r="E68" s="9">
        <v>2000</v>
      </c>
      <c r="F68" s="9">
        <f>SUM($E$6:E68)</f>
        <v>465500</v>
      </c>
      <c r="G68" s="1" t="str">
        <f t="shared" si="0"/>
        <v>ZAISŤOVŇA</v>
      </c>
      <c r="H68" s="13" t="str">
        <f t="shared" si="1"/>
        <v>ZAISŤOVŇA</v>
      </c>
    </row>
    <row r="69" spans="4:8" x14ac:dyDescent="0.25">
      <c r="D69" s="2" t="s">
        <v>65</v>
      </c>
      <c r="E69" s="9">
        <v>21000</v>
      </c>
      <c r="F69" s="9">
        <f>SUM($E$6:E69)</f>
        <v>486500</v>
      </c>
      <c r="G69" s="1" t="str">
        <f t="shared" si="0"/>
        <v>ZAISŤOVŇA</v>
      </c>
      <c r="H69" s="13" t="str">
        <f t="shared" si="1"/>
        <v>ZAISŤOVŇA</v>
      </c>
    </row>
    <row r="70" spans="4:8" x14ac:dyDescent="0.25">
      <c r="D70" s="2" t="s">
        <v>66</v>
      </c>
      <c r="E70" s="9">
        <v>1000</v>
      </c>
      <c r="F70" s="9">
        <f>SUM($E$6:E70)</f>
        <v>487500</v>
      </c>
      <c r="G70" s="1" t="str">
        <f t="shared" si="0"/>
        <v>ZAISŤOVŇA</v>
      </c>
      <c r="H70" s="13" t="str">
        <f t="shared" si="1"/>
        <v>ZAISŤOVŇA</v>
      </c>
    </row>
    <row r="71" spans="4:8" x14ac:dyDescent="0.25">
      <c r="D71" s="2" t="s">
        <v>67</v>
      </c>
      <c r="E71" s="9">
        <v>1000</v>
      </c>
      <c r="F71" s="9">
        <f>SUM($E$6:E71)</f>
        <v>488500</v>
      </c>
      <c r="G71" s="1" t="str">
        <f t="shared" ref="G71:G85" si="3">IF(F71&lt;$B$10,"poisťovňa","ZAISŤOVŇA")</f>
        <v>ZAISŤOVŇA</v>
      </c>
      <c r="H71" s="13" t="str">
        <f t="shared" ref="H71:H85" si="4">G71</f>
        <v>ZAISŤOVŇA</v>
      </c>
    </row>
    <row r="72" spans="4:8" x14ac:dyDescent="0.25">
      <c r="D72" s="2" t="s">
        <v>68</v>
      </c>
      <c r="E72" s="9">
        <v>5000</v>
      </c>
      <c r="F72" s="9">
        <f>SUM($E$6:E72)</f>
        <v>493500</v>
      </c>
      <c r="G72" s="1" t="str">
        <f t="shared" si="3"/>
        <v>ZAISŤOVŇA</v>
      </c>
      <c r="H72" s="13" t="str">
        <f t="shared" si="4"/>
        <v>ZAISŤOVŇA</v>
      </c>
    </row>
    <row r="73" spans="4:8" x14ac:dyDescent="0.25">
      <c r="D73" s="2" t="s">
        <v>69</v>
      </c>
      <c r="E73" s="9">
        <v>4000</v>
      </c>
      <c r="F73" s="9">
        <f>SUM($E$6:E73)</f>
        <v>497500</v>
      </c>
      <c r="G73" s="1" t="str">
        <f t="shared" si="3"/>
        <v>ZAISŤOVŇA</v>
      </c>
      <c r="H73" s="13" t="str">
        <f t="shared" si="4"/>
        <v>ZAISŤOVŇA</v>
      </c>
    </row>
    <row r="74" spans="4:8" x14ac:dyDescent="0.25">
      <c r="D74" s="2" t="s">
        <v>70</v>
      </c>
      <c r="E74" s="9">
        <v>9000</v>
      </c>
      <c r="F74" s="9">
        <f>SUM($E$6:E74)</f>
        <v>506500</v>
      </c>
      <c r="G74" s="1" t="str">
        <f t="shared" si="3"/>
        <v>ZAISŤOVŇA</v>
      </c>
      <c r="H74" s="13" t="str">
        <f t="shared" si="4"/>
        <v>ZAISŤOVŇA</v>
      </c>
    </row>
    <row r="75" spans="4:8" x14ac:dyDescent="0.25">
      <c r="D75" s="2" t="s">
        <v>71</v>
      </c>
      <c r="E75" s="9">
        <v>8000</v>
      </c>
      <c r="F75" s="9">
        <f>SUM($E$6:E75)</f>
        <v>514500</v>
      </c>
      <c r="G75" s="1" t="str">
        <f t="shared" si="3"/>
        <v>ZAISŤOVŇA</v>
      </c>
      <c r="H75" s="13" t="str">
        <f t="shared" si="4"/>
        <v>ZAISŤOVŇA</v>
      </c>
    </row>
    <row r="76" spans="4:8" x14ac:dyDescent="0.25">
      <c r="D76" s="2" t="s">
        <v>72</v>
      </c>
      <c r="E76" s="9">
        <v>4000</v>
      </c>
      <c r="F76" s="9">
        <f>SUM($E$6:E76)</f>
        <v>518500</v>
      </c>
      <c r="G76" s="1" t="str">
        <f t="shared" si="3"/>
        <v>ZAISŤOVŇA</v>
      </c>
      <c r="H76" s="13" t="str">
        <f t="shared" si="4"/>
        <v>ZAISŤOVŇA</v>
      </c>
    </row>
    <row r="77" spans="4:8" x14ac:dyDescent="0.25">
      <c r="D77" s="2" t="s">
        <v>73</v>
      </c>
      <c r="E77" s="9">
        <v>6000</v>
      </c>
      <c r="F77" s="9">
        <f>SUM($E$6:E77)</f>
        <v>524500</v>
      </c>
      <c r="G77" s="1" t="str">
        <f t="shared" si="3"/>
        <v>ZAISŤOVŇA</v>
      </c>
      <c r="H77" s="13" t="str">
        <f t="shared" si="4"/>
        <v>ZAISŤOVŇA</v>
      </c>
    </row>
    <row r="78" spans="4:8" x14ac:dyDescent="0.25">
      <c r="D78" s="2" t="s">
        <v>74</v>
      </c>
      <c r="E78" s="9">
        <v>3000</v>
      </c>
      <c r="F78" s="9">
        <f>SUM($E$6:E78)</f>
        <v>527500</v>
      </c>
      <c r="G78" s="1" t="str">
        <f t="shared" si="3"/>
        <v>ZAISŤOVŇA</v>
      </c>
      <c r="H78" s="13" t="str">
        <f t="shared" si="4"/>
        <v>ZAISŤOVŇA</v>
      </c>
    </row>
    <row r="79" spans="4:8" x14ac:dyDescent="0.25">
      <c r="D79" s="2" t="s">
        <v>75</v>
      </c>
      <c r="E79" s="9">
        <v>3500</v>
      </c>
      <c r="F79" s="9">
        <f>SUM($E$6:E79)</f>
        <v>531000</v>
      </c>
      <c r="G79" s="1" t="str">
        <f t="shared" si="3"/>
        <v>ZAISŤOVŇA</v>
      </c>
      <c r="H79" s="13" t="str">
        <f t="shared" si="4"/>
        <v>ZAISŤOVŇA</v>
      </c>
    </row>
    <row r="80" spans="4:8" x14ac:dyDescent="0.25">
      <c r="D80" s="2" t="s">
        <v>76</v>
      </c>
      <c r="E80" s="9">
        <v>14500</v>
      </c>
      <c r="F80" s="9">
        <f>SUM($E$6:E80)</f>
        <v>545500</v>
      </c>
      <c r="G80" s="1" t="str">
        <f t="shared" si="3"/>
        <v>ZAISŤOVŇA</v>
      </c>
      <c r="H80" s="13" t="str">
        <f t="shared" si="4"/>
        <v>ZAISŤOVŇA</v>
      </c>
    </row>
    <row r="81" spans="4:8" x14ac:dyDescent="0.25">
      <c r="D81" s="2" t="s">
        <v>77</v>
      </c>
      <c r="E81" s="9">
        <v>2500</v>
      </c>
      <c r="F81" s="9">
        <f>SUM($E$6:E81)</f>
        <v>548000</v>
      </c>
      <c r="G81" s="1" t="str">
        <f t="shared" si="3"/>
        <v>ZAISŤOVŇA</v>
      </c>
      <c r="H81" s="13" t="str">
        <f t="shared" si="4"/>
        <v>ZAISŤOVŇA</v>
      </c>
    </row>
    <row r="82" spans="4:8" x14ac:dyDescent="0.25">
      <c r="D82" s="2" t="s">
        <v>78</v>
      </c>
      <c r="E82" s="9">
        <v>8500</v>
      </c>
      <c r="F82" s="9">
        <f>SUM($E$6:E82)</f>
        <v>556500</v>
      </c>
      <c r="G82" s="1" t="str">
        <f t="shared" si="3"/>
        <v>ZAISŤOVŇA</v>
      </c>
      <c r="H82" s="13" t="str">
        <f t="shared" si="4"/>
        <v>ZAISŤOVŇA</v>
      </c>
    </row>
    <row r="83" spans="4:8" x14ac:dyDescent="0.25">
      <c r="D83" s="2" t="s">
        <v>79</v>
      </c>
      <c r="E83" s="9">
        <v>4500</v>
      </c>
      <c r="F83" s="9">
        <f>SUM($E$6:E83)</f>
        <v>561000</v>
      </c>
      <c r="G83" s="1" t="str">
        <f t="shared" si="3"/>
        <v>ZAISŤOVŇA</v>
      </c>
      <c r="H83" s="13" t="str">
        <f t="shared" si="4"/>
        <v>ZAISŤOVŇA</v>
      </c>
    </row>
    <row r="84" spans="4:8" x14ac:dyDescent="0.25">
      <c r="D84" s="2" t="s">
        <v>80</v>
      </c>
      <c r="E84" s="9">
        <v>16500</v>
      </c>
      <c r="F84" s="9">
        <f>SUM($E$6:E84)</f>
        <v>577500</v>
      </c>
      <c r="G84" s="1" t="str">
        <f t="shared" si="3"/>
        <v>ZAISŤOVŇA</v>
      </c>
      <c r="H84" s="13" t="str">
        <f t="shared" si="4"/>
        <v>ZAISŤOVŇA</v>
      </c>
    </row>
    <row r="85" spans="4:8" x14ac:dyDescent="0.25">
      <c r="D85" s="2" t="s">
        <v>81</v>
      </c>
      <c r="E85" s="9">
        <v>3000</v>
      </c>
      <c r="F85" s="9">
        <f>SUM($E$6:E85)</f>
        <v>580500</v>
      </c>
      <c r="G85" s="1" t="str">
        <f t="shared" si="3"/>
        <v>ZAISŤOVŇA</v>
      </c>
      <c r="H85" s="13" t="str">
        <f t="shared" si="4"/>
        <v>ZAISŤOVŇA</v>
      </c>
    </row>
  </sheetData>
  <mergeCells count="2">
    <mergeCell ref="A1:I1"/>
    <mergeCell ref="A2:I2"/>
  </mergeCells>
  <phoneticPr fontId="6" type="noConversion"/>
  <pageMargins left="0.7" right="0.7" top="0.75" bottom="0.75" header="0.3" footer="0.3"/>
  <pageSetup paperSize="9" orientation="portrait" r:id="rId1"/>
  <ignoredErrors>
    <ignoredError sqref="F7:F8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Grafy</vt:lpstr>
      </vt:variant>
      <vt:variant>
        <vt:i4>1</vt:i4>
      </vt:variant>
    </vt:vector>
  </HeadingPairs>
  <TitlesOfParts>
    <vt:vector size="2" baseType="lpstr">
      <vt:lpstr>Habil-K08-Priklad_8.7</vt:lpstr>
      <vt:lpstr>Habil-K08-Priklad_8.7-graf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2022-09-17T07:57:47Z</dcterms:created>
  <dcterms:modified xsi:type="dcterms:W3CDTF">2025-11-16T06:40:04Z</dcterms:modified>
</cp:coreProperties>
</file>